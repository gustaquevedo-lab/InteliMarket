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sumen Ejecutivo P&amp;L" sheetId="1" state="visible" r:id="rId1"/>
    <sheet xmlns:r="http://schemas.openxmlformats.org/officeDocument/2006/relationships" name="2. Detalle Ingresos" sheetId="2" state="visible" r:id="rId2"/>
    <sheet xmlns:r="http://schemas.openxmlformats.org/officeDocument/2006/relationships" name="3. Detalle CMV" sheetId="3" state="visible" r:id="rId3"/>
    <sheet xmlns:r="http://schemas.openxmlformats.org/officeDocument/2006/relationships" name="4. Detalle Nomina SueldOK" sheetId="4" state="visible" r:id="rId4"/>
    <sheet xmlns:r="http://schemas.openxmlformats.org/officeDocument/2006/relationships" name="5. Ocupacion y Servicios" sheetId="5" state="visible" r:id="rId5"/>
    <sheet xmlns:r="http://schemas.openxmlformats.org/officeDocument/2006/relationships" name="6. Mantenimiento" sheetId="6" state="visible" r:id="rId6"/>
    <sheet xmlns:r="http://schemas.openxmlformats.org/officeDocument/2006/relationships" name="7. Logistica e Insumos" sheetId="7" state="visible" r:id="rId7"/>
    <sheet xmlns:r="http://schemas.openxmlformats.org/officeDocument/2006/relationships" name="8. Administracion y Finanz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Gs.&quot;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E293B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b val="1"/>
      <color rgb="001E3A8A"/>
      <sz val="11"/>
    </font>
    <font>
      <name val="Calibri"/>
      <color rgb="001E293B"/>
      <sz val="10"/>
    </font>
    <font>
      <name val="Calibri"/>
      <b val="1"/>
      <color rgb="000F172A"/>
      <sz val="11"/>
    </font>
    <font>
      <name val="Calibri"/>
      <b val="1"/>
      <color rgb="0016A34A"/>
      <sz val="10"/>
    </font>
  </fonts>
  <fills count="10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2563EB"/>
        <bgColor rgb="002563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4" fillId="4" borderId="2" applyAlignment="1" pivotButton="0" quotePrefix="0" xfId="0">
      <alignment horizontal="center"/>
    </xf>
    <xf numFmtId="0" fontId="4" fillId="4" borderId="2" applyAlignment="1" pivotButton="0" quotePrefix="0" xfId="0">
      <alignment horizontal="left"/>
    </xf>
    <xf numFmtId="164" fontId="4" fillId="4" borderId="2" applyAlignment="1" pivotButton="0" quotePrefix="0" xfId="0">
      <alignment horizontal="right"/>
    </xf>
    <xf numFmtId="165" fontId="4" fillId="4" borderId="2" applyAlignment="1" pivotButton="0" quotePrefix="0" xfId="0">
      <alignment horizontal="right"/>
    </xf>
    <xf numFmtId="0" fontId="4" fillId="5" borderId="2" applyAlignment="1" pivotButton="0" quotePrefix="0" xfId="0">
      <alignment horizontal="center"/>
    </xf>
    <xf numFmtId="0" fontId="4" fillId="5" borderId="2" applyAlignment="1" pivotButton="0" quotePrefix="0" xfId="0">
      <alignment horizontal="left"/>
    </xf>
    <xf numFmtId="164" fontId="4" fillId="5" borderId="2" applyAlignment="1" pivotButton="0" quotePrefix="0" xfId="0">
      <alignment horizontal="right"/>
    </xf>
    <xf numFmtId="165" fontId="4" fillId="5" borderId="2" applyAlignment="1" pivotButton="0" quotePrefix="0" xfId="0">
      <alignment horizontal="right"/>
    </xf>
    <xf numFmtId="0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left"/>
    </xf>
    <xf numFmtId="164" fontId="4" fillId="6" borderId="2" applyAlignment="1" pivotButton="0" quotePrefix="0" xfId="0">
      <alignment horizontal="right"/>
    </xf>
    <xf numFmtId="165" fontId="4" fillId="6" borderId="2" applyAlignment="1" pivotButton="0" quotePrefix="0" xfId="0">
      <alignment horizontal="right"/>
    </xf>
    <xf numFmtId="0" fontId="4" fillId="7" borderId="2" applyAlignment="1" pivotButton="0" quotePrefix="0" xfId="0">
      <alignment horizontal="center"/>
    </xf>
    <xf numFmtId="0" fontId="4" fillId="7" borderId="2" applyAlignment="1" pivotButton="0" quotePrefix="0" xfId="0">
      <alignment horizontal="left"/>
    </xf>
    <xf numFmtId="164" fontId="4" fillId="7" borderId="2" applyAlignment="1" pivotButton="0" quotePrefix="0" xfId="0">
      <alignment horizontal="right"/>
    </xf>
    <xf numFmtId="165" fontId="4" fillId="7" borderId="2" applyAlignment="1" pivotButton="0" quotePrefix="0" xfId="0">
      <alignment horizontal="right"/>
    </xf>
    <xf numFmtId="0" fontId="3" fillId="8" borderId="0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4" fillId="3" borderId="2" pivotButton="0" quotePrefix="0" xfId="0"/>
    <xf numFmtId="0" fontId="0" fillId="3" borderId="2" pivotButton="0" quotePrefix="0" xfId="0"/>
    <xf numFmtId="164" fontId="4" fillId="3" borderId="2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164" fontId="4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55" customWidth="1" min="3" max="3"/>
    <col width="24" customWidth="1" min="4" max="4"/>
    <col width="18" customWidth="1" min="5" max="5"/>
    <col width="32" customWidth="1" min="6" max="6"/>
  </cols>
  <sheetData>
    <row r="2">
      <c r="B2" s="1" t="inlineStr">
        <is>
          <t>GRUPO SANTA TERESA E.A.S. — Extra Supermercado Mayorista</t>
        </is>
      </c>
    </row>
    <row r="3">
      <c r="B3" s="2" t="inlineStr">
        <is>
          <t>RUC: 80150377-9 | INFORME DE CIERRE DE RESULTADOS Y ESTADO DE P&amp;L — SEPTIEMBRE 2026</t>
        </is>
      </c>
    </row>
    <row r="5">
      <c r="B5" s="3" t="inlineStr">
        <is>
          <t>CÓD.</t>
        </is>
      </c>
      <c r="C5" s="4" t="inlineStr">
        <is>
          <t>CONCEPTO ECONÓMICO / RUBRO</t>
        </is>
      </c>
      <c r="D5" s="3" t="inlineStr">
        <is>
          <t>MONTO DEVENGADO</t>
        </is>
      </c>
      <c r="E5" s="3" t="inlineStr">
        <is>
          <t>% S/ VENTAS</t>
        </is>
      </c>
      <c r="F5" s="3" t="inlineStr">
        <is>
          <t>MAGNITUD / HOJA DE DETALLE</t>
        </is>
      </c>
    </row>
    <row r="6">
      <c r="B6" s="5" t="inlineStr">
        <is>
          <t>1.0</t>
        </is>
      </c>
      <c r="C6" s="6" t="inlineStr">
        <is>
          <t>INGRESOS OPERATIVOS BRUTOS</t>
        </is>
      </c>
      <c r="D6" s="7" t="n">
        <v>2980978267</v>
      </c>
      <c r="E6" s="8">
        <f>D6/D8</f>
        <v/>
      </c>
      <c r="F6" s="5" t="inlineStr">
        <is>
          <t>2. Detalle Ingresos</t>
        </is>
      </c>
    </row>
    <row r="7">
      <c r="B7" s="9" t="inlineStr">
        <is>
          <t>1.1</t>
        </is>
      </c>
      <c r="C7" s="10" t="inlineStr">
        <is>
          <t xml:space="preserve">  - Ventas en Efectivo Salón (POS)</t>
        </is>
      </c>
      <c r="D7" s="11" t="n">
        <v>549659993</v>
      </c>
      <c r="E7" s="12">
        <f>D7/D8</f>
        <v/>
      </c>
      <c r="F7" s="9" t="inlineStr">
        <is>
          <t>2. Detalle Ingresos</t>
        </is>
      </c>
    </row>
    <row r="8">
      <c r="B8" s="9" t="inlineStr">
        <is>
          <t>1.2</t>
        </is>
      </c>
      <c r="C8" s="10" t="inlineStr">
        <is>
          <t xml:space="preserve">  - Ventas con Tarjetas y Medios Digitales (POS)</t>
        </is>
      </c>
      <c r="D8" s="11" t="n">
        <v>501203393</v>
      </c>
      <c r="E8" s="12">
        <f>D8/D8</f>
        <v/>
      </c>
      <c r="F8" s="9" t="inlineStr">
        <is>
          <t>2. Detalle Ingresos</t>
        </is>
      </c>
    </row>
    <row r="9">
      <c r="B9" s="9" t="inlineStr">
        <is>
          <t>1.3</t>
        </is>
      </c>
      <c r="C9" s="10" t="inlineStr">
        <is>
          <t xml:space="preserve">  (-) Devoluciones y Descuentos Comerciales</t>
        </is>
      </c>
      <c r="D9" s="11" t="n">
        <v>555185</v>
      </c>
      <c r="E9" s="12">
        <f>D9/D8</f>
        <v/>
      </c>
      <c r="F9" s="9" t="inlineStr">
        <is>
          <t>2. Detalle Ingresos</t>
        </is>
      </c>
    </row>
    <row r="10">
      <c r="B10" s="13" t="inlineStr">
        <is>
          <t>1.4</t>
        </is>
      </c>
      <c r="C10" s="14" t="inlineStr">
        <is>
          <t>VENTAS NETAS TOTALES</t>
        </is>
      </c>
      <c r="D10" s="15">
        <f>D6-D9</f>
        <v/>
      </c>
      <c r="E10" s="16">
        <f>1.0</f>
        <v/>
      </c>
      <c r="F10" s="13" t="inlineStr">
        <is>
          <t>2. Detalle Ingresos</t>
        </is>
      </c>
    </row>
    <row r="11">
      <c r="B11" s="5" t="inlineStr">
        <is>
          <t>2.0</t>
        </is>
      </c>
      <c r="C11" s="6" t="inlineStr">
        <is>
          <t>COSTO DE MERCADERÍAS VENDIDAS (CMV)</t>
        </is>
      </c>
      <c r="D11" s="7" t="n">
        <v>1358640209</v>
      </c>
      <c r="E11" s="8">
        <f>D11/$D$10</f>
        <v/>
      </c>
      <c r="F11" s="5" t="inlineStr">
        <is>
          <t>3. Detalle CMV</t>
        </is>
      </c>
    </row>
    <row r="12">
      <c r="B12" s="9" t="inlineStr">
        <is>
          <t>2.1</t>
        </is>
      </c>
      <c r="C12" s="10" t="inlineStr">
        <is>
          <t xml:space="preserve">  - Compras de Reposición y Mercaderías Reventa</t>
        </is>
      </c>
      <c r="D12" s="11" t="n">
        <v>1346140209</v>
      </c>
      <c r="E12" s="12">
        <f>D12/$D$10</f>
        <v/>
      </c>
      <c r="F12" s="9" t="inlineStr">
        <is>
          <t>3. Detalle CMV</t>
        </is>
      </c>
    </row>
    <row r="13">
      <c r="B13" s="9" t="inlineStr">
        <is>
          <t>2.2</t>
        </is>
      </c>
      <c r="C13" s="10" t="inlineStr">
        <is>
          <t xml:space="preserve">  - Mermas Operativas Frío y Carnicería</t>
        </is>
      </c>
      <c r="D13" s="11" t="n">
        <v>12500000</v>
      </c>
      <c r="E13" s="12">
        <f>D13/$D$10</f>
        <v/>
      </c>
      <c r="F13" s="9" t="inlineStr">
        <is>
          <t>3. Detalle CMV</t>
        </is>
      </c>
    </row>
    <row r="14">
      <c r="B14" s="17" t="inlineStr">
        <is>
          <t>3.0</t>
        </is>
      </c>
      <c r="C14" s="18" t="inlineStr">
        <is>
          <t>UTILIDAD BRUTA COMERCIAL</t>
        </is>
      </c>
      <c r="D14" s="19">
        <f>D10-D11</f>
        <v/>
      </c>
      <c r="E14" s="20">
        <f>D14/$D$10</f>
        <v/>
      </c>
      <c r="F14" s="17" t="inlineStr">
        <is>
          <t>Resumen P&amp;L</t>
        </is>
      </c>
    </row>
    <row r="15">
      <c r="B15" s="5" t="inlineStr">
        <is>
          <t>4.0</t>
        </is>
      </c>
      <c r="C15" s="6" t="inlineStr">
        <is>
          <t>GASTOS OPERATIVOS (OPEX)</t>
        </is>
      </c>
      <c r="D15" s="7">
        <f>SUM(D16:D20)</f>
        <v/>
      </c>
      <c r="E15" s="8">
        <f>D15/$D$10</f>
        <v/>
      </c>
      <c r="F15" s="5" t="inlineStr">
        <is>
          <t>Resumen OPEX</t>
        </is>
      </c>
    </row>
    <row r="16">
      <c r="B16" s="9" t="inlineStr">
        <is>
          <t>4.1</t>
        </is>
      </c>
      <c r="C16" s="10" t="inlineStr">
        <is>
          <t xml:space="preserve">  - Gastos de Personal (Sueldos, Jornales e IPS Patronal)</t>
        </is>
      </c>
      <c r="D16" s="11" t="n">
        <v>169074201</v>
      </c>
      <c r="E16" s="12">
        <f>D16/$D$10</f>
        <v/>
      </c>
      <c r="F16" s="9" t="inlineStr">
        <is>
          <t>4. Detalle Nomina SueldOK</t>
        </is>
      </c>
    </row>
    <row r="17">
      <c r="B17" s="9" t="inlineStr">
        <is>
          <t>4.2</t>
        </is>
      </c>
      <c r="C17" s="10" t="inlineStr">
        <is>
          <t xml:space="preserve">  - Ocupación y Servicios Básicos (Alquiler, ANDE, Essap)</t>
        </is>
      </c>
      <c r="D17" s="11" t="n">
        <v>29693000</v>
      </c>
      <c r="E17" s="12">
        <f>D17/$D$10</f>
        <v/>
      </c>
      <c r="F17" s="9" t="inlineStr">
        <is>
          <t>5. Ocupacion y Servicios</t>
        </is>
      </c>
    </row>
    <row r="18">
      <c r="B18" s="9" t="inlineStr">
        <is>
          <t>4.3</t>
        </is>
      </c>
      <c r="C18" s="10" t="inlineStr">
        <is>
          <t xml:space="preserve">  - Mantenimiento, Equipamiento e Infraestructura</t>
        </is>
      </c>
      <c r="D18" s="11" t="n">
        <v>8700000</v>
      </c>
      <c r="E18" s="12">
        <f>D18/$D$10</f>
        <v/>
      </c>
      <c r="F18" s="9" t="inlineStr">
        <is>
          <t>6. Mantenimiento</t>
        </is>
      </c>
    </row>
    <row r="19">
      <c r="B19" s="9" t="inlineStr">
        <is>
          <t>4.4</t>
        </is>
      </c>
      <c r="C19" s="10" t="inlineStr">
        <is>
          <t xml:space="preserve">  - Logística, Operación e Insumos (Fletes, Bolsas, Nafta)</t>
        </is>
      </c>
      <c r="D19" s="11" t="n">
        <v>9500000</v>
      </c>
      <c r="E19" s="12">
        <f>D19/$D$10</f>
        <v/>
      </c>
      <c r="F19" s="9" t="inlineStr">
        <is>
          <t>7. Logistica e Insumos</t>
        </is>
      </c>
    </row>
    <row r="20">
      <c r="B20" s="9" t="inlineStr">
        <is>
          <t>4.5</t>
        </is>
      </c>
      <c r="C20" s="10" t="inlineStr">
        <is>
          <t xml:space="preserve">  - Administración, Tecnología y Asesoría</t>
        </is>
      </c>
      <c r="D20" s="11" t="n">
        <v>7018149</v>
      </c>
      <c r="E20" s="12">
        <f>D20/$D$10</f>
        <v/>
      </c>
      <c r="F20" s="9" t="inlineStr">
        <is>
          <t>8. Administracion y Finanzas</t>
        </is>
      </c>
    </row>
    <row r="21">
      <c r="B21" s="21" t="inlineStr">
        <is>
          <t>5.0</t>
        </is>
      </c>
      <c r="C21" s="22" t="inlineStr">
        <is>
          <t>EBITDA (RESULTADO OPERATIVO BRUTO)</t>
        </is>
      </c>
      <c r="D21" s="23">
        <f>D14-D15</f>
        <v/>
      </c>
      <c r="E21" s="24">
        <f>D21/$D$10</f>
        <v/>
      </c>
      <c r="F21" s="21" t="inlineStr">
        <is>
          <t>Margen Operativo</t>
        </is>
      </c>
    </row>
    <row r="22">
      <c r="B22" s="5" t="inlineStr">
        <is>
          <t>6.0</t>
        </is>
      </c>
      <c r="C22" s="6" t="inlineStr">
        <is>
          <t>GASTOS FINANCIEROS E IMPUESTOS</t>
        </is>
      </c>
      <c r="D22" s="7">
        <f>SUM(D23:D24)</f>
        <v/>
      </c>
      <c r="E22" s="8">
        <f>D22/$D$10</f>
        <v/>
      </c>
      <c r="F22" s="5" t="inlineStr">
        <is>
          <t>8. Administracion y Finanzas</t>
        </is>
      </c>
    </row>
    <row r="23">
      <c r="B23" s="9" t="inlineStr">
        <is>
          <t>6.1</t>
        </is>
      </c>
      <c r="C23" s="10" t="inlineStr">
        <is>
          <t xml:space="preserve">  - Comisiones POS Tarjetas y Gastos Bancarios</t>
        </is>
      </c>
      <c r="D23" s="11" t="n">
        <v>7753996</v>
      </c>
      <c r="E23" s="12">
        <f>D23/$D$10</f>
        <v/>
      </c>
      <c r="F23" s="9" t="inlineStr">
        <is>
          <t>8. Administracion y Finanzas</t>
        </is>
      </c>
    </row>
    <row r="24">
      <c r="B24" s="9" t="inlineStr">
        <is>
          <t>6.2</t>
        </is>
      </c>
      <c r="C24" s="10" t="inlineStr">
        <is>
          <t xml:space="preserve">  - Impuestos y Tasas Municipales</t>
        </is>
      </c>
      <c r="D24" s="11" t="n">
        <v>0</v>
      </c>
      <c r="E24" s="12">
        <f>D24/$D$10</f>
        <v/>
      </c>
      <c r="F24" s="9" t="inlineStr">
        <is>
          <t>8. Administracion y Finanzas</t>
        </is>
      </c>
    </row>
    <row r="25">
      <c r="B25" s="25" t="inlineStr">
        <is>
          <t>7.0</t>
        </is>
      </c>
      <c r="C25" s="26" t="inlineStr">
        <is>
          <t>RESULTADO NETO DEL EJERCICIO</t>
        </is>
      </c>
      <c r="D25" s="27">
        <f>D21-D22</f>
        <v/>
      </c>
      <c r="E25" s="28">
        <f>D25/$D$10</f>
        <v/>
      </c>
      <c r="F25" s="25" t="inlineStr">
        <is>
          <t>Resultado Final</t>
        </is>
      </c>
    </row>
    <row r="28">
      <c r="B28" s="29" t="inlineStr">
        <is>
          <t>CONCILIACIÓN FINANCIERA: SALDOS BANCARIOS OFICIALES CALIBRADOS AL 30/09/2026</t>
        </is>
      </c>
    </row>
    <row r="29">
      <c r="B29" s="30" t="inlineStr">
        <is>
          <t>ENTIDAD BANCARIA</t>
        </is>
      </c>
      <c r="C29" s="30" t="inlineStr">
        <is>
          <t>TIPO DE CUENTA</t>
        </is>
      </c>
      <c r="D29" s="30" t="inlineStr">
        <is>
          <t>NÚMERO DE CUENTA</t>
        </is>
      </c>
      <c r="E29" s="30" t="inlineStr">
        <is>
          <t>SALDO OFICIAL AUDITADO</t>
        </is>
      </c>
      <c r="F29" s="30" t="inlineStr">
        <is>
          <t>ESTADO</t>
        </is>
      </c>
    </row>
    <row r="30">
      <c r="B30" s="31" t="inlineStr">
        <is>
          <t>Banco Continental</t>
        </is>
      </c>
      <c r="C30" s="31" t="inlineStr">
        <is>
          <t>Cta. Cte.</t>
        </is>
      </c>
      <c r="D30" s="31" t="inlineStr">
        <is>
          <t>382364779308</t>
        </is>
      </c>
      <c r="E30" s="32" t="n">
        <v>50816460</v>
      </c>
      <c r="F30" s="33" t="inlineStr">
        <is>
          <t>CALIBRADO</t>
        </is>
      </c>
    </row>
    <row r="31">
      <c r="B31" s="31" t="inlineStr">
        <is>
          <t>Banco Continental</t>
        </is>
      </c>
      <c r="C31" s="31" t="inlineStr">
        <is>
          <t>Caja Ahorro Dinelco</t>
        </is>
      </c>
      <c r="D31" s="31" t="inlineStr">
        <is>
          <t>38250039706001</t>
        </is>
      </c>
      <c r="E31" s="32" t="n">
        <v>1674199</v>
      </c>
      <c r="F31" s="33" t="inlineStr">
        <is>
          <t>CALIBRADO</t>
        </is>
      </c>
    </row>
    <row r="32">
      <c r="B32" s="31" t="inlineStr">
        <is>
          <t>Banco Continental</t>
        </is>
      </c>
      <c r="C32" s="31" t="inlineStr">
        <is>
          <t>Ahorro PlugPay PIX</t>
        </is>
      </c>
      <c r="D32" s="31" t="inlineStr">
        <is>
          <t>38250039706208</t>
        </is>
      </c>
      <c r="E32" s="32" t="n">
        <v>4736671</v>
      </c>
      <c r="F32" s="33" t="inlineStr">
        <is>
          <t>CALIBRADO</t>
        </is>
      </c>
    </row>
    <row r="33">
      <c r="B33" s="31" t="inlineStr">
        <is>
          <t>Banco Interfisa</t>
        </is>
      </c>
      <c r="C33" s="31" t="inlineStr">
        <is>
          <t>Cta. Cte.</t>
        </is>
      </c>
      <c r="D33" s="31" t="inlineStr">
        <is>
          <t>259058910</t>
        </is>
      </c>
      <c r="E33" s="32" t="n">
        <v>9140355</v>
      </c>
      <c r="F33" s="33" t="inlineStr">
        <is>
          <t>CALIBRADO</t>
        </is>
      </c>
    </row>
    <row r="34">
      <c r="B34" s="31" t="inlineStr">
        <is>
          <t>Banco Interfisa</t>
        </is>
      </c>
      <c r="C34" s="31" t="inlineStr">
        <is>
          <t>Caja Ahorro PYG</t>
        </is>
      </c>
      <c r="D34" s="31" t="inlineStr">
        <is>
          <t>259026699</t>
        </is>
      </c>
      <c r="E34" s="32" t="n">
        <v>7506319</v>
      </c>
      <c r="F34" s="33" t="inlineStr">
        <is>
          <t>CALIBRADO</t>
        </is>
      </c>
    </row>
    <row r="35">
      <c r="B35" s="34" t="inlineStr">
        <is>
          <t>TOTAL DISPONIBLE EN BANCOS (30/09/2026)</t>
        </is>
      </c>
      <c r="C35" s="35" t="n"/>
      <c r="D35" s="35" t="n"/>
      <c r="E35" s="36">
        <f>SUM(E30:E34)</f>
        <v/>
      </c>
      <c r="F35" s="34" t="inlineStr">
        <is>
          <t>Gs. 73.874.004</t>
        </is>
      </c>
    </row>
  </sheetData>
  <mergeCells count="4">
    <mergeCell ref="B2:F2"/>
    <mergeCell ref="B28:F28"/>
    <mergeCell ref="B35:D35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20" customWidth="1" min="4" max="4"/>
    <col width="18" customWidth="1" min="5" max="5"/>
    <col width="35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2. DETALLE INGRESOS (SETIEMBRE 2026)</t>
        </is>
      </c>
    </row>
    <row r="3" ht="22" customHeight="1">
      <c r="A3" s="38" t="inlineStr">
        <is>
          <t>FECHA</t>
        </is>
      </c>
      <c r="B3" s="38" t="inlineStr">
        <is>
          <t>TURNO / CAJA</t>
        </is>
      </c>
      <c r="C3" s="38" t="inlineStr">
        <is>
          <t>TIPO COMPROBANTE</t>
        </is>
      </c>
      <c r="D3" s="38" t="inlineStr">
        <is>
          <t>NÚMERO FACTURA</t>
        </is>
      </c>
      <c r="E3" s="38" t="inlineStr">
        <is>
          <t>CANAL DE COBRO</t>
        </is>
      </c>
      <c r="F3" s="38" t="inlineStr">
        <is>
          <t>DESCRIPCIÓN</t>
        </is>
      </c>
      <c r="G3" s="38" t="inlineStr">
        <is>
          <t>IMPORTE BRUTO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35" customWidth="1" min="6" max="6"/>
    <col width="20" customWidth="1" min="7" max="7"/>
    <col width="15" customWidth="1" min="8" max="8"/>
  </cols>
  <sheetData>
    <row r="1" ht="25" customHeight="1">
      <c r="A1" s="37" t="inlineStr">
        <is>
          <t>EXTRA SUPERMERCADO MAYORISTA — 3. DETALLE CMV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 REVENTA</t>
        </is>
      </c>
      <c r="D3" s="38" t="inlineStr">
        <is>
          <t>RUC</t>
        </is>
      </c>
      <c r="E3" s="38" t="inlineStr">
        <is>
          <t>FAMILIA ALIMENTOS</t>
        </is>
      </c>
      <c r="F3" s="38" t="inlineStr">
        <is>
          <t>DESCRIPCIÓN</t>
        </is>
      </c>
      <c r="G3" s="38" t="inlineStr">
        <is>
          <t>IMPORTE COSTO (Gs.)</t>
        </is>
      </c>
      <c r="H3" s="38" t="inlineStr">
        <is>
          <t>CONDICIÓN PAGO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25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</cols>
  <sheetData>
    <row r="1" ht="25" customHeight="1">
      <c r="A1" s="37" t="inlineStr">
        <is>
          <t>EXTRA SUPERMERCADO MAYORISTA — 4. DETALLE NOMINA SUELDOK (SETIEMBRE 2026)</t>
        </is>
      </c>
    </row>
    <row r="3" ht="22" customHeight="1">
      <c r="A3" s="38" t="inlineStr">
        <is>
          <t>C.I. Nº</t>
        </is>
      </c>
      <c r="B3" s="38" t="inlineStr">
        <is>
          <t>COLABORADOR</t>
        </is>
      </c>
      <c r="C3" s="38" t="inlineStr">
        <is>
          <t>CARGO</t>
        </is>
      </c>
      <c r="D3" s="38" t="inlineStr">
        <is>
          <t>DEPARTAMENTO</t>
        </is>
      </c>
      <c r="E3" s="38" t="inlineStr">
        <is>
          <t>SALARIO BASE</t>
        </is>
      </c>
      <c r="F3" s="38" t="inlineStr">
        <is>
          <t>HORAS EXTRAS</t>
        </is>
      </c>
      <c r="G3" s="38" t="inlineStr">
        <is>
          <t>DEVENGADO TOTAL</t>
        </is>
      </c>
      <c r="H3" s="38" t="inlineStr">
        <is>
          <t>IPS OBRERO (9%)</t>
        </is>
      </c>
      <c r="I3" s="38" t="inlineStr">
        <is>
          <t>IPS PATRONAL (16.5%)</t>
        </is>
      </c>
      <c r="J3" s="38" t="inlineStr">
        <is>
          <t>AGUINALDO PROP.</t>
        </is>
      </c>
      <c r="K3" s="38" t="inlineStr">
        <is>
          <t>DESCUENTOS / ANT.</t>
        </is>
      </c>
      <c r="L3" s="38" t="inlineStr">
        <is>
          <t>LÍQUIDO A COBRAR</t>
        </is>
      </c>
    </row>
    <row r="4">
      <c r="A4" s="9" t="inlineStr">
        <is>
          <t>3.456.789</t>
        </is>
      </c>
      <c r="B4" s="10" t="inlineStr">
        <is>
          <t>CARLOS ALBERTO BENITEZ</t>
        </is>
      </c>
      <c r="C4" s="10" t="inlineStr">
        <is>
          <t>Jefe de Salón y Cajas</t>
        </is>
      </c>
      <c r="D4" s="10" t="inlineStr">
        <is>
          <t>Operaciones</t>
        </is>
      </c>
      <c r="E4" s="11" t="n">
        <v>6500000</v>
      </c>
      <c r="F4" s="11" t="n">
        <v>850000</v>
      </c>
      <c r="G4" s="11" t="n">
        <v>7350000</v>
      </c>
      <c r="H4" s="11" t="n">
        <v>661500</v>
      </c>
      <c r="I4" s="11" t="n">
        <v>1212750</v>
      </c>
      <c r="J4" s="11" t="n">
        <v>612500</v>
      </c>
      <c r="K4" s="11" t="n">
        <v>500000</v>
      </c>
      <c r="L4" s="11" t="n">
        <v>6188500</v>
      </c>
    </row>
    <row r="5">
      <c r="A5" s="9" t="inlineStr">
        <is>
          <t>4.123.456</t>
        </is>
      </c>
      <c r="B5" s="10" t="inlineStr">
        <is>
          <t>MARIA ELENA GONZALEZ</t>
        </is>
      </c>
      <c r="C5" s="10" t="inlineStr">
        <is>
          <t>Cajera Principal Turno Mañana</t>
        </is>
      </c>
      <c r="D5" s="10" t="inlineStr">
        <is>
          <t>Cajas</t>
        </is>
      </c>
      <c r="E5" s="11" t="n">
        <v>3200000</v>
      </c>
      <c r="F5" s="11" t="n">
        <v>420000</v>
      </c>
      <c r="G5" s="11" t="n">
        <v>3620000</v>
      </c>
      <c r="H5" s="11" t="n">
        <v>325800</v>
      </c>
      <c r="I5" s="11" t="n">
        <v>597300</v>
      </c>
      <c r="J5" s="11" t="n">
        <v>301667</v>
      </c>
      <c r="K5" s="11" t="n">
        <v>200000</v>
      </c>
      <c r="L5" s="11" t="n">
        <v>3094200</v>
      </c>
    </row>
    <row r="6">
      <c r="A6" s="9" t="inlineStr">
        <is>
          <t>2.987.654</t>
        </is>
      </c>
      <c r="B6" s="10" t="inlineStr">
        <is>
          <t>JUAN RAMON DUARTE</t>
        </is>
      </c>
      <c r="C6" s="10" t="inlineStr">
        <is>
          <t>Encargado de Carnicería y Frío</t>
        </is>
      </c>
      <c r="D6" s="10" t="inlineStr">
        <is>
          <t>Perecederos</t>
        </is>
      </c>
      <c r="E6" s="11" t="n">
        <v>4800000</v>
      </c>
      <c r="F6" s="11" t="n">
        <v>750000</v>
      </c>
      <c r="G6" s="11" t="n">
        <v>5550000</v>
      </c>
      <c r="H6" s="11" t="n">
        <v>499500</v>
      </c>
      <c r="I6" s="11" t="n">
        <v>915750</v>
      </c>
      <c r="J6" s="11" t="n">
        <v>462500</v>
      </c>
      <c r="K6" s="11" t="n">
        <v>350000</v>
      </c>
      <c r="L6" s="11" t="n">
        <v>4700500</v>
      </c>
    </row>
    <row r="7">
      <c r="B7" s="39" t="inlineStr">
        <is>
          <t>TOTALES PARCIALES</t>
        </is>
      </c>
      <c r="E7" s="40">
        <f>SUM(E4:E6)</f>
        <v/>
      </c>
      <c r="F7" s="40">
        <f>SUM(F4:F6)</f>
        <v/>
      </c>
      <c r="G7" s="40">
        <f>SUM(G4:G6)</f>
        <v/>
      </c>
      <c r="H7" s="40">
        <f>SUM(H4:H6)</f>
        <v/>
      </c>
      <c r="I7" s="40">
        <f>SUM(I4:I6)</f>
        <v/>
      </c>
      <c r="J7" s="40">
        <f>SUM(J4:J6)</f>
        <v/>
      </c>
      <c r="K7" s="40">
        <f>SUM(K4:K6)</f>
        <v/>
      </c>
      <c r="L7" s="40">
        <f>SUM(L4:L6)</f>
        <v/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5. OCUPACION Y SERVICIOS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/ ENTIDAD</t>
        </is>
      </c>
      <c r="D3" s="38" t="inlineStr">
        <is>
          <t>RUC</t>
        </is>
      </c>
      <c r="E3" s="38" t="inlineStr">
        <is>
          <t>SUBCATEGORÍA</t>
        </is>
      </c>
      <c r="F3" s="38" t="inlineStr">
        <is>
          <t>DESCRIPCIÓN SERVICIO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5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6. MANTENIMIENTO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TÉCNICO</t>
        </is>
      </c>
      <c r="D3" s="38" t="inlineStr">
        <is>
          <t>RUC</t>
        </is>
      </c>
      <c r="E3" s="38" t="inlineStr">
        <is>
          <t>EQUIPO / ÁREA</t>
        </is>
      </c>
      <c r="F3" s="38" t="inlineStr">
        <is>
          <t>DETALLE INTERVENCIÓN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7. LOGISTICA E INSUMOS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</t>
        </is>
      </c>
      <c r="D3" s="38" t="inlineStr">
        <is>
          <t>RUC</t>
        </is>
      </c>
      <c r="E3" s="38" t="inlineStr">
        <is>
          <t>RUBRO</t>
        </is>
      </c>
      <c r="F3" s="38" t="inlineStr">
        <is>
          <t>DETALLE INSUMO / FLETE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3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8. ADMINISTRACION Y FINANZAS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ENTIDAD / PROFESIONAL</t>
        </is>
      </c>
      <c r="D3" s="38" t="inlineStr">
        <is>
          <t>RUC</t>
        </is>
      </c>
      <c r="E3" s="38" t="inlineStr">
        <is>
          <t>CONCEPTO FINANCIERO</t>
        </is>
      </c>
      <c r="F3" s="38" t="inlineStr">
        <is>
          <t>DESCRIPCIÓN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2026-10-12T23:35:06Z</dcterms:created>
  <dcterms:modified xmlns:dcterms="http://purl.org/dc/terms/" xmlns:xsi="http://www.w3.org/2001/XMLSchema-instance" xsi:type="dcterms:W3CDTF">2026-10-12T23:35:06Z</dcterms:modified>
</cp:coreProperties>
</file>