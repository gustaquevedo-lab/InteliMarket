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Ejecutivo P&amp;L" sheetId="1" state="visible" r:id="rId1"/>
    <sheet xmlns:r="http://schemas.openxmlformats.org/officeDocument/2006/relationships" name="2. Detalle Ingresos" sheetId="2" state="visible" r:id="rId2"/>
    <sheet xmlns:r="http://schemas.openxmlformats.org/officeDocument/2006/relationships" name="3. Detalle CMV" sheetId="3" state="visible" r:id="rId3"/>
    <sheet xmlns:r="http://schemas.openxmlformats.org/officeDocument/2006/relationships" name="4. Detalle Nomina SueldOK" sheetId="4" state="visible" r:id="rId4"/>
    <sheet xmlns:r="http://schemas.openxmlformats.org/officeDocument/2006/relationships" name="5. Ocupacion y Servicios" sheetId="5" state="visible" r:id="rId5"/>
    <sheet xmlns:r="http://schemas.openxmlformats.org/officeDocument/2006/relationships" name="6. Mantenimiento" sheetId="6" state="visible" r:id="rId6"/>
    <sheet xmlns:r="http://schemas.openxmlformats.org/officeDocument/2006/relationships" name="7. Logistica e Insumos" sheetId="7" state="visible" r:id="rId7"/>
    <sheet xmlns:r="http://schemas.openxmlformats.org/officeDocument/2006/relationships" name="8. Administracion y Finanz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Gs.&quot;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color rgb="001E293B"/>
      <sz val="10"/>
    </font>
    <font>
      <name val="Calibri"/>
      <b val="1"/>
      <color rgb="000F172A"/>
      <sz val="11"/>
    </font>
    <font>
      <name val="Calibri"/>
      <b val="1"/>
      <color rgb="0016A34A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4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164" fontId="4" fillId="4" borderId="2" applyAlignment="1" pivotButton="0" quotePrefix="0" xfId="0">
      <alignment horizontal="right"/>
    </xf>
    <xf numFmtId="165" fontId="4" fillId="4" borderId="2" applyAlignment="1" pivotButton="0" quotePrefix="0" xfId="0">
      <alignment horizontal="right"/>
    </xf>
    <xf numFmtId="0" fontId="4" fillId="5" borderId="2" applyAlignment="1" pivotButton="0" quotePrefix="0" xfId="0">
      <alignment horizontal="center"/>
    </xf>
    <xf numFmtId="0" fontId="4" fillId="5" borderId="2" applyAlignment="1" pivotButton="0" quotePrefix="0" xfId="0">
      <alignment horizontal="left"/>
    </xf>
    <xf numFmtId="164" fontId="4" fillId="5" borderId="2" applyAlignment="1" pivotButton="0" quotePrefix="0" xfId="0">
      <alignment horizontal="right"/>
    </xf>
    <xf numFmtId="165" fontId="4" fillId="5" borderId="2" applyAlignment="1" pivotButton="0" quotePrefix="0" xfId="0">
      <alignment horizontal="right"/>
    </xf>
    <xf numFmtId="0" fontId="4" fillId="6" borderId="2" applyAlignment="1" pivotButton="0" quotePrefix="0" xfId="0">
      <alignment horizontal="center"/>
    </xf>
    <xf numFmtId="0" fontId="4" fillId="6" borderId="2" applyAlignment="1" pivotButton="0" quotePrefix="0" xfId="0">
      <alignment horizontal="left"/>
    </xf>
    <xf numFmtId="164" fontId="4" fillId="6" borderId="2" applyAlignment="1" pivotButton="0" quotePrefix="0" xfId="0">
      <alignment horizontal="right"/>
    </xf>
    <xf numFmtId="165" fontId="4" fillId="6" borderId="2" applyAlignment="1" pivotButton="0" quotePrefix="0" xfId="0">
      <alignment horizontal="right"/>
    </xf>
    <xf numFmtId="0" fontId="4" fillId="7" borderId="2" applyAlignment="1" pivotButton="0" quotePrefix="0" xfId="0">
      <alignment horizontal="center"/>
    </xf>
    <xf numFmtId="0" fontId="4" fillId="7" borderId="2" applyAlignment="1" pivotButton="0" quotePrefix="0" xfId="0">
      <alignment horizontal="left"/>
    </xf>
    <xf numFmtId="164" fontId="4" fillId="7" borderId="2" applyAlignment="1" pivotButton="0" quotePrefix="0" xfId="0">
      <alignment horizontal="right"/>
    </xf>
    <xf numFmtId="165" fontId="4" fillId="7" borderId="2" applyAlignment="1" pivotButton="0" quotePrefix="0" xfId="0">
      <alignment horizontal="right"/>
    </xf>
    <xf numFmtId="0" fontId="3" fillId="8" borderId="0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4" fillId="3" borderId="2" pivotButton="0" quotePrefix="0" xfId="0"/>
    <xf numFmtId="0" fontId="0" fillId="3" borderId="2" pivotButton="0" quotePrefix="0" xfId="0"/>
    <xf numFmtId="164" fontId="4" fillId="3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0" borderId="0" pivotButton="0" quotePrefix="0" xfId="0"/>
    <xf numFmtId="164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55" customWidth="1" min="3" max="3"/>
    <col width="24" customWidth="1" min="4" max="4"/>
    <col width="18" customWidth="1" min="5" max="5"/>
    <col width="32" customWidth="1" min="6" max="6"/>
  </cols>
  <sheetData>
    <row r="2">
      <c r="B2" s="1" t="inlineStr">
        <is>
          <t>GRUPO SANTA TERESA E.A.S. — Extra Supermercado Mayorista</t>
        </is>
      </c>
    </row>
    <row r="3">
      <c r="B3" s="2" t="inlineStr">
        <is>
          <t>RUC: 80150377-9 | INFORME DE CIERRE DE RESULTADOS Y ESTADO DE P&amp;L — SEPTIEMBRE 2026</t>
        </is>
      </c>
    </row>
    <row r="5">
      <c r="B5" s="3" t="inlineStr">
        <is>
          <t>CÓD.</t>
        </is>
      </c>
      <c r="C5" s="4" t="inlineStr">
        <is>
          <t>CONCEPTO ECONÓMICO / RUBRO</t>
        </is>
      </c>
      <c r="D5" s="3" t="inlineStr">
        <is>
          <t>MONTO DEVENGADO</t>
        </is>
      </c>
      <c r="E5" s="3" t="inlineStr">
        <is>
          <t>% S/ VENTAS</t>
        </is>
      </c>
      <c r="F5" s="3" t="inlineStr">
        <is>
          <t>MAGNITUD / HOJA DE DETALLE</t>
        </is>
      </c>
    </row>
    <row r="6">
      <c r="B6" s="5" t="inlineStr">
        <is>
          <t>1.0</t>
        </is>
      </c>
      <c r="C6" s="6" t="inlineStr">
        <is>
          <t>INGRESOS OPERATIVOS BRUTOS</t>
        </is>
      </c>
      <c r="D6" s="7" t="n">
        <v>1234596102</v>
      </c>
      <c r="E6" s="8">
        <f>D6/D8</f>
        <v/>
      </c>
      <c r="F6" s="5" t="inlineStr">
        <is>
          <t>2. Detalle Ingresos</t>
        </is>
      </c>
    </row>
    <row r="7">
      <c r="B7" s="9" t="inlineStr">
        <is>
          <t>1.1</t>
        </is>
      </c>
      <c r="C7" s="10" t="inlineStr">
        <is>
          <t xml:space="preserve">  - Ventas en Efectivo Salón (POS)</t>
        </is>
      </c>
      <c r="D7" s="11" t="n">
        <v>541138681</v>
      </c>
      <c r="E7" s="12">
        <f>D7/D8</f>
        <v/>
      </c>
      <c r="F7" s="9" t="inlineStr">
        <is>
          <t>2. Detalle Ingresos</t>
        </is>
      </c>
    </row>
    <row r="8">
      <c r="B8" s="9" t="inlineStr">
        <is>
          <t>1.2</t>
        </is>
      </c>
      <c r="C8" s="10" t="inlineStr">
        <is>
          <t xml:space="preserve">  - Ventas con Tarjetas y Medios Digitales (POS)</t>
        </is>
      </c>
      <c r="D8" s="11" t="n">
        <v>252264444</v>
      </c>
      <c r="E8" s="12">
        <f>D8/D8</f>
        <v/>
      </c>
      <c r="F8" s="9" t="inlineStr">
        <is>
          <t>2. Detalle Ingresos</t>
        </is>
      </c>
    </row>
    <row r="9">
      <c r="B9" s="9" t="inlineStr">
        <is>
          <t>1.3</t>
        </is>
      </c>
      <c r="C9" s="10" t="inlineStr">
        <is>
          <t xml:space="preserve">  (-) Devoluciones y Descuentos Comerciales</t>
        </is>
      </c>
      <c r="D9" s="11" t="n">
        <v>0</v>
      </c>
      <c r="E9" s="12">
        <f>D9/D8</f>
        <v/>
      </c>
      <c r="F9" s="9" t="inlineStr">
        <is>
          <t>2. Detalle Ingresos</t>
        </is>
      </c>
    </row>
    <row r="10">
      <c r="B10" s="13" t="inlineStr">
        <is>
          <t>1.4</t>
        </is>
      </c>
      <c r="C10" s="14" t="inlineStr">
        <is>
          <t>VENTAS NETAS TOTALES</t>
        </is>
      </c>
      <c r="D10" s="15">
        <f>D6-D9</f>
        <v/>
      </c>
      <c r="E10" s="16">
        <f>1.0</f>
        <v/>
      </c>
      <c r="F10" s="13" t="inlineStr">
        <is>
          <t>2. Detalle Ingresos</t>
        </is>
      </c>
    </row>
    <row r="11">
      <c r="B11" s="5" t="inlineStr">
        <is>
          <t>2.0</t>
        </is>
      </c>
      <c r="C11" s="6" t="inlineStr">
        <is>
          <t>COSTO DE MERCADERÍAS VENDIDAS (CMV)</t>
        </is>
      </c>
      <c r="D11" s="7" t="n">
        <v>1020507216</v>
      </c>
      <c r="E11" s="8">
        <f>D11/$D$10</f>
        <v/>
      </c>
      <c r="F11" s="5" t="inlineStr">
        <is>
          <t>3. Detalle CMV</t>
        </is>
      </c>
    </row>
    <row r="12">
      <c r="B12" s="9" t="inlineStr">
        <is>
          <t>2.1</t>
        </is>
      </c>
      <c r="C12" s="10" t="inlineStr">
        <is>
          <t xml:space="preserve">  - Compras de Reposición y Mercaderías Reventa</t>
        </is>
      </c>
      <c r="D12" s="11" t="n">
        <v>1020507216</v>
      </c>
      <c r="E12" s="12">
        <f>D12/$D$10</f>
        <v/>
      </c>
      <c r="F12" s="9" t="inlineStr">
        <is>
          <t>3. Detalle CMV</t>
        </is>
      </c>
    </row>
    <row r="13">
      <c r="B13" s="9" t="inlineStr">
        <is>
          <t>2.2</t>
        </is>
      </c>
      <c r="C13" s="10" t="inlineStr">
        <is>
          <t xml:space="preserve">  - Mermas Operativas Frío y Carnicería</t>
        </is>
      </c>
      <c r="D13" s="11" t="n">
        <v>0</v>
      </c>
      <c r="E13" s="12">
        <f>D13/$D$10</f>
        <v/>
      </c>
      <c r="F13" s="9" t="inlineStr">
        <is>
          <t>3. Detalle CMV</t>
        </is>
      </c>
    </row>
    <row r="14">
      <c r="B14" s="17" t="inlineStr">
        <is>
          <t>3.0</t>
        </is>
      </c>
      <c r="C14" s="18" t="inlineStr">
        <is>
          <t>UTILIDAD BRUTA COMERCIAL</t>
        </is>
      </c>
      <c r="D14" s="19">
        <f>D10-D11</f>
        <v/>
      </c>
      <c r="E14" s="20">
        <f>D14/$D$10</f>
        <v/>
      </c>
      <c r="F14" s="17" t="inlineStr">
        <is>
          <t>Resumen P&amp;L</t>
        </is>
      </c>
    </row>
    <row r="15">
      <c r="B15" s="5" t="inlineStr">
        <is>
          <t>4.0</t>
        </is>
      </c>
      <c r="C15" s="6" t="inlineStr">
        <is>
          <t>GASTOS OPERATIVOS (OPEX)</t>
        </is>
      </c>
      <c r="D15" s="7">
        <f>SUM(D16:D20)</f>
        <v/>
      </c>
      <c r="E15" s="8">
        <f>D15/$D$10</f>
        <v/>
      </c>
      <c r="F15" s="5" t="inlineStr">
        <is>
          <t>Resumen OPEX</t>
        </is>
      </c>
    </row>
    <row r="16">
      <c r="B16" s="9" t="inlineStr">
        <is>
          <t>4.1</t>
        </is>
      </c>
      <c r="C16" s="10" t="inlineStr">
        <is>
          <t xml:space="preserve">  - Gastos de Personal (Sueldos, Jornales e IPS Patronal)</t>
        </is>
      </c>
      <c r="D16" s="11" t="n">
        <v>169074201</v>
      </c>
      <c r="E16" s="12">
        <f>D16/$D$10</f>
        <v/>
      </c>
      <c r="F16" s="9" t="inlineStr">
        <is>
          <t>4. Detalle Nomina SueldOK</t>
        </is>
      </c>
    </row>
    <row r="17">
      <c r="B17" s="9" t="inlineStr">
        <is>
          <t>4.2</t>
        </is>
      </c>
      <c r="C17" s="10" t="inlineStr">
        <is>
          <t xml:space="preserve">  - Ocupación y Servicios Básicos (Alquiler, ANDE, Essap)</t>
        </is>
      </c>
      <c r="D17" s="11" t="n">
        <v>29693000</v>
      </c>
      <c r="E17" s="12">
        <f>D17/$D$10</f>
        <v/>
      </c>
      <c r="F17" s="9" t="inlineStr">
        <is>
          <t>5. Ocupacion y Servicios</t>
        </is>
      </c>
    </row>
    <row r="18">
      <c r="B18" s="9" t="inlineStr">
        <is>
          <t>4.3</t>
        </is>
      </c>
      <c r="C18" s="10" t="inlineStr">
        <is>
          <t xml:space="preserve">  - Mantenimiento, Equipamiento e Infraestructura</t>
        </is>
      </c>
      <c r="D18" s="11" t="n">
        <v>8700000</v>
      </c>
      <c r="E18" s="12">
        <f>D18/$D$10</f>
        <v/>
      </c>
      <c r="F18" s="9" t="inlineStr">
        <is>
          <t>6. Mantenimiento</t>
        </is>
      </c>
    </row>
    <row r="19">
      <c r="B19" s="9" t="inlineStr">
        <is>
          <t>4.4</t>
        </is>
      </c>
      <c r="C19" s="10" t="inlineStr">
        <is>
          <t xml:space="preserve">  - Logística, Operación e Insumos (Fletes, Bolsas, Nafta)</t>
        </is>
      </c>
      <c r="D19" s="11" t="n">
        <v>9500000</v>
      </c>
      <c r="E19" s="12">
        <f>D19/$D$10</f>
        <v/>
      </c>
      <c r="F19" s="9" t="inlineStr">
        <is>
          <t>7. Logistica e Insumos</t>
        </is>
      </c>
    </row>
    <row r="20">
      <c r="B20" s="9" t="inlineStr">
        <is>
          <t>4.5</t>
        </is>
      </c>
      <c r="C20" s="10" t="inlineStr">
        <is>
          <t xml:space="preserve">  - Administración, Tecnología y Asesoría</t>
        </is>
      </c>
      <c r="D20" s="11" t="n">
        <v>7018149</v>
      </c>
      <c r="E20" s="12">
        <f>D20/$D$10</f>
        <v/>
      </c>
      <c r="F20" s="9" t="inlineStr">
        <is>
          <t>8. Administracion y Finanzas</t>
        </is>
      </c>
    </row>
    <row r="21">
      <c r="B21" s="21" t="inlineStr">
        <is>
          <t>5.0</t>
        </is>
      </c>
      <c r="C21" s="22" t="inlineStr">
        <is>
          <t>EBITDA (RESULTADO OPERATIVO BRUTO)</t>
        </is>
      </c>
      <c r="D21" s="23">
        <f>D14-D15</f>
        <v/>
      </c>
      <c r="E21" s="24">
        <f>D21/$D$10</f>
        <v/>
      </c>
      <c r="F21" s="21" t="inlineStr">
        <is>
          <t>Margen Operativo</t>
        </is>
      </c>
    </row>
    <row r="22">
      <c r="B22" s="5" t="inlineStr">
        <is>
          <t>6.0</t>
        </is>
      </c>
      <c r="C22" s="6" t="inlineStr">
        <is>
          <t>GASTOS FINANCIEROS E IMPUESTOS</t>
        </is>
      </c>
      <c r="D22" s="7">
        <f>SUM(D23:D24)</f>
        <v/>
      </c>
      <c r="E22" s="8">
        <f>D22/$D$10</f>
        <v/>
      </c>
      <c r="F22" s="5" t="inlineStr">
        <is>
          <t>8. Administracion y Finanzas</t>
        </is>
      </c>
    </row>
    <row r="23">
      <c r="B23" s="9" t="inlineStr">
        <is>
          <t>6.1</t>
        </is>
      </c>
      <c r="C23" s="10" t="inlineStr">
        <is>
          <t xml:space="preserve">  - Comisiones POS Tarjetas y Gastos Bancarios</t>
        </is>
      </c>
      <c r="D23" s="11" t="n">
        <v>7753996</v>
      </c>
      <c r="E23" s="12">
        <f>D23/$D$10</f>
        <v/>
      </c>
      <c r="F23" s="9" t="inlineStr">
        <is>
          <t>8. Administracion y Finanzas</t>
        </is>
      </c>
    </row>
    <row r="24">
      <c r="B24" s="9" t="inlineStr">
        <is>
          <t>6.2</t>
        </is>
      </c>
      <c r="C24" s="10" t="inlineStr">
        <is>
          <t xml:space="preserve">  - Impuestos y Tasas Municipales</t>
        </is>
      </c>
      <c r="D24" s="11" t="n">
        <v>0</v>
      </c>
      <c r="E24" s="12">
        <f>D24/$D$10</f>
        <v/>
      </c>
      <c r="F24" s="9" t="inlineStr">
        <is>
          <t>8. Administracion y Finanzas</t>
        </is>
      </c>
    </row>
    <row r="25">
      <c r="B25" s="25" t="inlineStr">
        <is>
          <t>7.0</t>
        </is>
      </c>
      <c r="C25" s="26" t="inlineStr">
        <is>
          <t>RESULTADO NETO DEL EJERCICIO</t>
        </is>
      </c>
      <c r="D25" s="27">
        <f>D21-D22</f>
        <v/>
      </c>
      <c r="E25" s="28">
        <f>D25/$D$10</f>
        <v/>
      </c>
      <c r="F25" s="25" t="inlineStr">
        <is>
          <t>Resultado Final</t>
        </is>
      </c>
    </row>
    <row r="28">
      <c r="B28" s="29" t="inlineStr">
        <is>
          <t>CONCILIACIÓN FINANCIERA: SALDOS BANCARIOS OFICIALES CALIBRADOS AL 30/09/2026</t>
        </is>
      </c>
    </row>
    <row r="29">
      <c r="B29" s="30" t="inlineStr">
        <is>
          <t>ENTIDAD BANCARIA</t>
        </is>
      </c>
      <c r="C29" s="30" t="inlineStr">
        <is>
          <t>TIPO DE CUENTA</t>
        </is>
      </c>
      <c r="D29" s="30" t="inlineStr">
        <is>
          <t>NÚMERO DE CUENTA</t>
        </is>
      </c>
      <c r="E29" s="30" t="inlineStr">
        <is>
          <t>SALDO OFICIAL AUDITADO</t>
        </is>
      </c>
      <c r="F29" s="30" t="inlineStr">
        <is>
          <t>ESTADO</t>
        </is>
      </c>
    </row>
    <row r="30">
      <c r="B30" s="31" t="inlineStr">
        <is>
          <t>Banco Continental</t>
        </is>
      </c>
      <c r="C30" s="31" t="inlineStr">
        <is>
          <t>Cta. Cte.</t>
        </is>
      </c>
      <c r="D30" s="31" t="inlineStr">
        <is>
          <t>382364779308</t>
        </is>
      </c>
      <c r="E30" s="32" t="n">
        <v>50816460</v>
      </c>
      <c r="F30" s="33" t="inlineStr">
        <is>
          <t>CALIBRADO</t>
        </is>
      </c>
    </row>
    <row r="31">
      <c r="B31" s="31" t="inlineStr">
        <is>
          <t>Banco Continental</t>
        </is>
      </c>
      <c r="C31" s="31" t="inlineStr">
        <is>
          <t>Caja Ahorro Dinelco</t>
        </is>
      </c>
      <c r="D31" s="31" t="inlineStr">
        <is>
          <t>38250039706001</t>
        </is>
      </c>
      <c r="E31" s="32" t="n">
        <v>1674199</v>
      </c>
      <c r="F31" s="33" t="inlineStr">
        <is>
          <t>CALIBRADO</t>
        </is>
      </c>
    </row>
    <row r="32">
      <c r="B32" s="31" t="inlineStr">
        <is>
          <t>Banco Continental</t>
        </is>
      </c>
      <c r="C32" s="31" t="inlineStr">
        <is>
          <t>Ahorro PlugPay PIX</t>
        </is>
      </c>
      <c r="D32" s="31" t="inlineStr">
        <is>
          <t>38250039706208</t>
        </is>
      </c>
      <c r="E32" s="32" t="n">
        <v>4736671</v>
      </c>
      <c r="F32" s="33" t="inlineStr">
        <is>
          <t>CALIBRADO</t>
        </is>
      </c>
    </row>
    <row r="33">
      <c r="B33" s="31" t="inlineStr">
        <is>
          <t>Banco Interfisa</t>
        </is>
      </c>
      <c r="C33" s="31" t="inlineStr">
        <is>
          <t>Cta. Cte.</t>
        </is>
      </c>
      <c r="D33" s="31" t="inlineStr">
        <is>
          <t>259058910</t>
        </is>
      </c>
      <c r="E33" s="32" t="n">
        <v>9140355</v>
      </c>
      <c r="F33" s="33" t="inlineStr">
        <is>
          <t>CALIBRADO</t>
        </is>
      </c>
    </row>
    <row r="34">
      <c r="B34" s="31" t="inlineStr">
        <is>
          <t>Banco Interfisa</t>
        </is>
      </c>
      <c r="C34" s="31" t="inlineStr">
        <is>
          <t>Caja Ahorro PYG</t>
        </is>
      </c>
      <c r="D34" s="31" t="inlineStr">
        <is>
          <t>259026699</t>
        </is>
      </c>
      <c r="E34" s="32" t="n">
        <v>7506319</v>
      </c>
      <c r="F34" s="33" t="inlineStr">
        <is>
          <t>CALIBRADO</t>
        </is>
      </c>
    </row>
    <row r="35">
      <c r="B35" s="34" t="inlineStr">
        <is>
          <t>TOTAL DISPONIBLE EN BANCOS (30/09/2026)</t>
        </is>
      </c>
      <c r="C35" s="35" t="n"/>
      <c r="D35" s="35" t="n"/>
      <c r="E35" s="36">
        <f>SUM(E30:E34)</f>
        <v/>
      </c>
      <c r="F35" s="34" t="inlineStr">
        <is>
          <t>Gs. 73.874.004</t>
        </is>
      </c>
    </row>
  </sheetData>
  <mergeCells count="4">
    <mergeCell ref="B2:F2"/>
    <mergeCell ref="B28:F28"/>
    <mergeCell ref="B35:D35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0" customWidth="1" min="4" max="4"/>
    <col width="18" customWidth="1" min="5" max="5"/>
    <col width="35" customWidth="1" min="6" max="6"/>
    <col width="20" customWidth="1" min="7" max="7"/>
    <col width="12" customWidth="1" min="8" max="8"/>
  </cols>
  <sheetData>
    <row r="1" ht="25" customHeight="1">
      <c r="A1" s="37" t="inlineStr">
        <is>
          <t>EXTRA SUPERMERCADO MAYORISTA — 2. DETALLE INGRESOS (SETIEMBRE 2026)</t>
        </is>
      </c>
    </row>
    <row r="3" ht="22" customHeight="1">
      <c r="A3" s="38" t="inlineStr">
        <is>
          <t>FECHA</t>
        </is>
      </c>
      <c r="B3" s="38" t="inlineStr">
        <is>
          <t>TURNO / CAJA</t>
        </is>
      </c>
      <c r="C3" s="38" t="inlineStr">
        <is>
          <t>TIPO COMPROBANTE</t>
        </is>
      </c>
      <c r="D3" s="38" t="inlineStr">
        <is>
          <t>NÚMERO FACTURA</t>
        </is>
      </c>
      <c r="E3" s="38" t="inlineStr">
        <is>
          <t>CANAL DE COBRO</t>
        </is>
      </c>
      <c r="F3" s="38" t="inlineStr">
        <is>
          <t>DESCRIPCIÓN</t>
        </is>
      </c>
      <c r="G3" s="38" t="inlineStr">
        <is>
          <t>IMPORTE BRUTO (Gs.)</t>
        </is>
      </c>
      <c r="H3" s="38" t="inlineStr">
        <is>
          <t>ESTADO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20" customWidth="1" min="5" max="5"/>
    <col width="35" customWidth="1" min="6" max="6"/>
    <col width="20" customWidth="1" min="7" max="7"/>
    <col width="15" customWidth="1" min="8" max="8"/>
  </cols>
  <sheetData>
    <row r="1" ht="25" customHeight="1">
      <c r="A1" s="37" t="inlineStr">
        <is>
          <t>EXTRA SUPERMERCADO MAYORISTA — 3. DETALLE CMV (SETIEMBRE 2026)</t>
        </is>
      </c>
    </row>
    <row r="3" ht="22" customHeight="1">
      <c r="A3" s="38" t="inlineStr">
        <is>
          <t>FECHA</t>
        </is>
      </c>
      <c r="B3" s="38" t="inlineStr">
        <is>
          <t>COMPROBANTE</t>
        </is>
      </c>
      <c r="C3" s="38" t="inlineStr">
        <is>
          <t>PROVEEDOR REVENTA</t>
        </is>
      </c>
      <c r="D3" s="38" t="inlineStr">
        <is>
          <t>RUC</t>
        </is>
      </c>
      <c r="E3" s="38" t="inlineStr">
        <is>
          <t>FAMILIA ALIMENTOS</t>
        </is>
      </c>
      <c r="F3" s="38" t="inlineStr">
        <is>
          <t>DESCRIPCIÓN</t>
        </is>
      </c>
      <c r="G3" s="38" t="inlineStr">
        <is>
          <t>IMPORTE COSTO (Gs.)</t>
        </is>
      </c>
      <c r="H3" s="38" t="inlineStr">
        <is>
          <t>CONDICIÓN PAGO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18" customWidth="1" min="4" max="4"/>
    <col width="18" customWidth="1" min="5" max="5"/>
    <col width="16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37" t="inlineStr">
        <is>
          <t>EXTRA SUPERMERCADO MAYORISTA — 4. DETALLE NOMINA SUELDOK (SETIEMBRE 2026)</t>
        </is>
      </c>
    </row>
    <row r="3" ht="22" customHeight="1">
      <c r="A3" s="38" t="inlineStr">
        <is>
          <t>C.I. Nº</t>
        </is>
      </c>
      <c r="B3" s="38" t="inlineStr">
        <is>
          <t>COLABORADOR</t>
        </is>
      </c>
      <c r="C3" s="38" t="inlineStr">
        <is>
          <t>CARGO</t>
        </is>
      </c>
      <c r="D3" s="38" t="inlineStr">
        <is>
          <t>DEPARTAMENTO</t>
        </is>
      </c>
      <c r="E3" s="38" t="inlineStr">
        <is>
          <t>SALARIO BASE</t>
        </is>
      </c>
      <c r="F3" s="38" t="inlineStr">
        <is>
          <t>HORAS EXTRAS</t>
        </is>
      </c>
      <c r="G3" s="38" t="inlineStr">
        <is>
          <t>DEVENGADO TOTAL</t>
        </is>
      </c>
      <c r="H3" s="38" t="inlineStr">
        <is>
          <t>IPS OBRERO (9%)</t>
        </is>
      </c>
      <c r="I3" s="38" t="inlineStr">
        <is>
          <t>IPS PATRONAL (16.5%)</t>
        </is>
      </c>
      <c r="J3" s="38" t="inlineStr">
        <is>
          <t>AGUINALDO PROP.</t>
        </is>
      </c>
      <c r="K3" s="38" t="inlineStr">
        <is>
          <t>DESCUENTOS / ANT.</t>
        </is>
      </c>
      <c r="L3" s="38" t="inlineStr">
        <is>
          <t>LÍQUIDO A COBRAR</t>
        </is>
      </c>
    </row>
    <row r="4">
      <c r="A4" s="9" t="inlineStr">
        <is>
          <t>4801062</t>
        </is>
      </c>
      <c r="B4" s="10" t="inlineStr">
        <is>
          <t>CAMILA GEOVANNA GONZALEZ ESCOBAR</t>
        </is>
      </c>
      <c r="C4" s="10" t="inlineStr">
        <is>
          <t>Pago Salarios SIPAP INTERFISA (1 pers.)</t>
        </is>
      </c>
      <c r="D4" s="10" t="inlineStr">
        <is>
          <t>Salón</t>
        </is>
      </c>
      <c r="E4" s="11" t="n">
        <v>13142857</v>
      </c>
      <c r="F4" s="11" t="n">
        <v>1142857</v>
      </c>
      <c r="G4" s="11" t="n">
        <v>14285714</v>
      </c>
      <c r="H4" s="11" t="n">
        <v>1285714</v>
      </c>
      <c r="I4" s="11" t="n">
        <v>2357143</v>
      </c>
      <c r="J4" s="11" t="n">
        <v>1190476</v>
      </c>
      <c r="K4" s="11" t="n">
        <v>0</v>
      </c>
      <c r="L4" s="11" t="n">
        <v>13000000</v>
      </c>
    </row>
    <row r="5">
      <c r="A5" s="9" t="inlineStr">
        <is>
          <t>6607837</t>
        </is>
      </c>
      <c r="B5" s="10" t="inlineStr">
        <is>
          <t>DINA MARY CABRERA ARGUELLO</t>
        </is>
      </c>
      <c r="C5" s="10" t="inlineStr">
        <is>
          <t>RECURSOS HUMANOS (1 pers.)</t>
        </is>
      </c>
      <c r="D5" s="10" t="inlineStr">
        <is>
          <t>RECURSOS HUMANOS</t>
        </is>
      </c>
      <c r="E5" s="11" t="n">
        <v>1422664</v>
      </c>
      <c r="F5" s="11" t="n">
        <v>123710</v>
      </c>
      <c r="G5" s="11" t="n">
        <v>1546374</v>
      </c>
      <c r="H5" s="11" t="n">
        <v>139174</v>
      </c>
      <c r="I5" s="11" t="n">
        <v>255152</v>
      </c>
      <c r="J5" s="11" t="n">
        <v>128864</v>
      </c>
      <c r="K5" s="11" t="n">
        <v>966000</v>
      </c>
      <c r="L5" s="11" t="n">
        <v>1407200</v>
      </c>
    </row>
    <row r="6">
      <c r="A6" s="9" t="inlineStr">
        <is>
          <t>7724607</t>
        </is>
      </c>
      <c r="B6" s="10" t="inlineStr">
        <is>
          <t>JUAN GABRIEL  RUIZ DIAZ CABRERA</t>
        </is>
      </c>
      <c r="C6" s="10" t="inlineStr">
        <is>
          <t>JEFE OPERATIVO (1 pers.)</t>
        </is>
      </c>
      <c r="D6" s="10" t="inlineStr">
        <is>
          <t>JEFE OPERATIVO</t>
        </is>
      </c>
      <c r="E6" s="11" t="n">
        <v>2727738</v>
      </c>
      <c r="F6" s="11" t="n">
        <v>237195</v>
      </c>
      <c r="G6" s="11" t="n">
        <v>2964933</v>
      </c>
      <c r="H6" s="11" t="n">
        <v>266844</v>
      </c>
      <c r="I6" s="11" t="n">
        <v>489214</v>
      </c>
      <c r="J6" s="11" t="n">
        <v>247078</v>
      </c>
      <c r="K6" s="11" t="n">
        <v>30000</v>
      </c>
      <c r="L6" s="11" t="n">
        <v>2698089</v>
      </c>
    </row>
    <row r="7">
      <c r="A7" s="9" t="inlineStr">
        <is>
          <t>5127070</t>
        </is>
      </c>
      <c r="B7" s="10" t="inlineStr">
        <is>
          <t>ARIEL ANIBAL ARMOA</t>
        </is>
      </c>
      <c r="C7" s="10" t="inlineStr">
        <is>
          <t>General (9 pers.)</t>
        </is>
      </c>
      <c r="D7" s="10" t="inlineStr">
        <is>
          <t>General</t>
        </is>
      </c>
      <c r="E7" s="11" t="n">
        <v>1873515</v>
      </c>
      <c r="F7" s="11" t="n">
        <v>162914</v>
      </c>
      <c r="G7" s="11" t="n">
        <v>2036429</v>
      </c>
      <c r="H7" s="11" t="n">
        <v>183279</v>
      </c>
      <c r="I7" s="11" t="n">
        <v>336011</v>
      </c>
      <c r="J7" s="11" t="n">
        <v>169702</v>
      </c>
      <c r="K7" s="11" t="n">
        <v>0</v>
      </c>
      <c r="L7" s="11" t="n">
        <v>1853150</v>
      </c>
    </row>
    <row r="8">
      <c r="A8" s="9" t="inlineStr">
        <is>
          <t>5334524</t>
        </is>
      </c>
      <c r="B8" s="10" t="inlineStr">
        <is>
          <t>SANTIAGO JARA TORRES</t>
        </is>
      </c>
      <c r="C8" s="10" t="inlineStr">
        <is>
          <t>General (9 pers.)</t>
        </is>
      </c>
      <c r="D8" s="10" t="inlineStr">
        <is>
          <t>General</t>
        </is>
      </c>
      <c r="E8" s="11" t="n">
        <v>1576628</v>
      </c>
      <c r="F8" s="11" t="n">
        <v>137098</v>
      </c>
      <c r="G8" s="11" t="n">
        <v>1713726</v>
      </c>
      <c r="H8" s="11" t="n">
        <v>154235</v>
      </c>
      <c r="I8" s="11" t="n">
        <v>282765</v>
      </c>
      <c r="J8" s="11" t="n">
        <v>142810</v>
      </c>
      <c r="K8" s="11" t="n">
        <v>304000</v>
      </c>
      <c r="L8" s="11" t="n">
        <v>1559491</v>
      </c>
    </row>
    <row r="9">
      <c r="A9" s="9" t="inlineStr">
        <is>
          <t>4962184</t>
        </is>
      </c>
      <c r="B9" s="10" t="inlineStr">
        <is>
          <t>MARCOS EDUARDO  PORTILLO FERRARI</t>
        </is>
      </c>
      <c r="C9" s="10" t="inlineStr">
        <is>
          <t>General (9 pers.)</t>
        </is>
      </c>
      <c r="D9" s="10" t="inlineStr">
        <is>
          <t>General</t>
        </is>
      </c>
      <c r="E9" s="11" t="n">
        <v>1441475</v>
      </c>
      <c r="F9" s="11" t="n">
        <v>125346</v>
      </c>
      <c r="G9" s="11" t="n">
        <v>1566821</v>
      </c>
      <c r="H9" s="11" t="n">
        <v>141014</v>
      </c>
      <c r="I9" s="11" t="n">
        <v>258525</v>
      </c>
      <c r="J9" s="11" t="n">
        <v>130568</v>
      </c>
      <c r="K9" s="11" t="n">
        <v>150000</v>
      </c>
      <c r="L9" s="11" t="n">
        <v>1425807</v>
      </c>
    </row>
    <row r="10">
      <c r="A10" s="9" t="inlineStr">
        <is>
          <t>7471490</t>
        </is>
      </c>
      <c r="B10" s="10" t="inlineStr">
        <is>
          <t>CAROLINA PERALTA GONZALEZ</t>
        </is>
      </c>
      <c r="C10" s="10" t="inlineStr">
        <is>
          <t>General (9 pers.)</t>
        </is>
      </c>
      <c r="D10" s="10" t="inlineStr">
        <is>
          <t>General</t>
        </is>
      </c>
      <c r="E10" s="11" t="n">
        <v>2468788</v>
      </c>
      <c r="F10" s="11" t="n">
        <v>214677</v>
      </c>
      <c r="G10" s="11" t="n">
        <v>2683465</v>
      </c>
      <c r="H10" s="11" t="n">
        <v>241512</v>
      </c>
      <c r="I10" s="11" t="n">
        <v>442772</v>
      </c>
      <c r="J10" s="11" t="n">
        <v>223622</v>
      </c>
      <c r="K10" s="11" t="n">
        <v>62000</v>
      </c>
      <c r="L10" s="11" t="n">
        <v>2441953</v>
      </c>
    </row>
    <row r="11">
      <c r="A11" s="9" t="inlineStr">
        <is>
          <t>7431755</t>
        </is>
      </c>
      <c r="B11" s="10" t="inlineStr">
        <is>
          <t>LIZ ANDREA CENTURION MORALES</t>
        </is>
      </c>
      <c r="C11" s="10" t="inlineStr">
        <is>
          <t>General (9 pers.)</t>
        </is>
      </c>
      <c r="D11" s="10" t="inlineStr">
        <is>
          <t>General</t>
        </is>
      </c>
      <c r="E11" s="11" t="n">
        <v>1284332</v>
      </c>
      <c r="F11" s="11" t="n">
        <v>111681</v>
      </c>
      <c r="G11" s="11" t="n">
        <v>1396013</v>
      </c>
      <c r="H11" s="11" t="n">
        <v>125641</v>
      </c>
      <c r="I11" s="11" t="n">
        <v>230342</v>
      </c>
      <c r="J11" s="11" t="n">
        <v>116334</v>
      </c>
      <c r="K11" s="11" t="n">
        <v>423000</v>
      </c>
      <c r="L11" s="11" t="n">
        <v>1270372</v>
      </c>
    </row>
    <row r="12">
      <c r="A12" s="9" t="inlineStr">
        <is>
          <t>4592021</t>
        </is>
      </c>
      <c r="B12" s="10" t="inlineStr">
        <is>
          <t>MARIA EDUARDA VAZQUEZ GIMENEZ</t>
        </is>
      </c>
      <c r="C12" s="10" t="inlineStr">
        <is>
          <t>General (9 pers.)</t>
        </is>
      </c>
      <c r="D12" s="10" t="inlineStr">
        <is>
          <t>General</t>
        </is>
      </c>
      <c r="E12" s="11" t="n">
        <v>2231246</v>
      </c>
      <c r="F12" s="11" t="n">
        <v>194021</v>
      </c>
      <c r="G12" s="11" t="n">
        <v>2425267</v>
      </c>
      <c r="H12" s="11" t="n">
        <v>218274</v>
      </c>
      <c r="I12" s="11" t="n">
        <v>400169</v>
      </c>
      <c r="J12" s="11" t="n">
        <v>202106</v>
      </c>
      <c r="K12" s="11" t="n">
        <v>32000</v>
      </c>
      <c r="L12" s="11" t="n">
        <v>2206993</v>
      </c>
    </row>
    <row r="13">
      <c r="A13" s="9" t="inlineStr">
        <is>
          <t>5718147</t>
        </is>
      </c>
      <c r="B13" s="10" t="inlineStr">
        <is>
          <t>AUGUSTO BARBOSA SANTACRUZ</t>
        </is>
      </c>
      <c r="C13" s="10" t="inlineStr">
        <is>
          <t>General (9 pers.)</t>
        </is>
      </c>
      <c r="D13" s="10" t="inlineStr">
        <is>
          <t>General</t>
        </is>
      </c>
      <c r="E13" s="11" t="n">
        <v>1931204</v>
      </c>
      <c r="F13" s="11" t="n">
        <v>167931</v>
      </c>
      <c r="G13" s="11" t="n">
        <v>2099135</v>
      </c>
      <c r="H13" s="11" t="n">
        <v>188922</v>
      </c>
      <c r="I13" s="11" t="n">
        <v>346357</v>
      </c>
      <c r="J13" s="11" t="n">
        <v>174928</v>
      </c>
      <c r="K13" s="11" t="n">
        <v>377000</v>
      </c>
      <c r="L13" s="11" t="n">
        <v>1910213</v>
      </c>
    </row>
    <row r="14">
      <c r="A14" s="9" t="inlineStr">
        <is>
          <t>5557779</t>
        </is>
      </c>
      <c r="B14" s="10" t="inlineStr">
        <is>
          <t>JAMILE MICAELA GONZALEZ ESCOBAR</t>
        </is>
      </c>
      <c r="C14" s="10" t="inlineStr">
        <is>
          <t>General (9 pers.)</t>
        </is>
      </c>
      <c r="D14" s="10" t="inlineStr">
        <is>
          <t>General</t>
        </is>
      </c>
      <c r="E14" s="11" t="n">
        <v>715777</v>
      </c>
      <c r="F14" s="11" t="n">
        <v>62241</v>
      </c>
      <c r="G14" s="11" t="n">
        <v>778018</v>
      </c>
      <c r="H14" s="11" t="n">
        <v>70022</v>
      </c>
      <c r="I14" s="11" t="n">
        <v>128373</v>
      </c>
      <c r="J14" s="11" t="n">
        <v>64835</v>
      </c>
      <c r="K14" s="11" t="n">
        <v>0</v>
      </c>
      <c r="L14" s="11" t="n">
        <v>707996</v>
      </c>
    </row>
    <row r="15">
      <c r="A15" s="9" t="inlineStr">
        <is>
          <t>3425101</t>
        </is>
      </c>
      <c r="B15" s="10" t="inlineStr">
        <is>
          <t>JORGE DANIEL CASTELL MALDONADO</t>
        </is>
      </c>
      <c r="C15" s="10" t="inlineStr">
        <is>
          <t>General (9 pers.)</t>
        </is>
      </c>
      <c r="D15" s="10" t="inlineStr">
        <is>
          <t>General</t>
        </is>
      </c>
      <c r="E15" s="11" t="n">
        <v>7283568</v>
      </c>
      <c r="F15" s="11" t="n">
        <v>633354</v>
      </c>
      <c r="G15" s="11" t="n">
        <v>7916922</v>
      </c>
      <c r="H15" s="11" t="n">
        <v>712523</v>
      </c>
      <c r="I15" s="11" t="n">
        <v>1306292</v>
      </c>
      <c r="J15" s="11" t="n">
        <v>659744</v>
      </c>
      <c r="K15" s="11" t="n">
        <v>0</v>
      </c>
      <c r="L15" s="11" t="n">
        <v>7204399</v>
      </c>
    </row>
    <row r="16">
      <c r="A16" s="9" t="inlineStr">
        <is>
          <t>4533640</t>
        </is>
      </c>
      <c r="B16" s="10" t="inlineStr">
        <is>
          <t>EVA ROSALINA BUSTAMANTE GONZALEZ</t>
        </is>
      </c>
      <c r="C16" s="10" t="inlineStr">
        <is>
          <t>SEGURIDAD (3 pers.)</t>
        </is>
      </c>
      <c r="D16" s="10" t="inlineStr">
        <is>
          <t>SEGURIDAD</t>
        </is>
      </c>
      <c r="E16" s="11" t="n">
        <v>1164003</v>
      </c>
      <c r="F16" s="11" t="n">
        <v>101218</v>
      </c>
      <c r="G16" s="11" t="n">
        <v>1265221</v>
      </c>
      <c r="H16" s="11" t="n">
        <v>113870</v>
      </c>
      <c r="I16" s="11" t="n">
        <v>208761</v>
      </c>
      <c r="J16" s="11" t="n">
        <v>105435</v>
      </c>
      <c r="K16" s="11" t="n">
        <v>387000</v>
      </c>
      <c r="L16" s="11" t="n">
        <v>1151351</v>
      </c>
    </row>
    <row r="17">
      <c r="A17" s="9" t="inlineStr">
        <is>
          <t>2032040</t>
        </is>
      </c>
      <c r="B17" s="10" t="inlineStr">
        <is>
          <t>RICARDO VILLALBA CABRERA</t>
        </is>
      </c>
      <c r="C17" s="10" t="inlineStr">
        <is>
          <t>SEGURIDAD (3 pers.)</t>
        </is>
      </c>
      <c r="D17" s="10" t="inlineStr">
        <is>
          <t>SEGURIDAD</t>
        </is>
      </c>
      <c r="E17" s="11" t="n">
        <v>1669133</v>
      </c>
      <c r="F17" s="11" t="n">
        <v>145142</v>
      </c>
      <c r="G17" s="11" t="n">
        <v>1814275</v>
      </c>
      <c r="H17" s="11" t="n">
        <v>163285</v>
      </c>
      <c r="I17" s="11" t="n">
        <v>299355</v>
      </c>
      <c r="J17" s="11" t="n">
        <v>151190</v>
      </c>
      <c r="K17" s="11" t="n">
        <v>0</v>
      </c>
      <c r="L17" s="11" t="n">
        <v>1650990</v>
      </c>
    </row>
    <row r="18">
      <c r="A18" s="9" t="inlineStr">
        <is>
          <t>4261585</t>
        </is>
      </c>
      <c r="B18" s="10" t="inlineStr">
        <is>
          <t>PEDRO FRANCISCO ALCARAZ ACOSTA</t>
        </is>
      </c>
      <c r="C18" s="10" t="inlineStr">
        <is>
          <t>SEGURIDAD (3 pers.)</t>
        </is>
      </c>
      <c r="D18" s="10" t="inlineStr">
        <is>
          <t>SEGURIDAD</t>
        </is>
      </c>
      <c r="E18" s="11" t="n">
        <v>209275</v>
      </c>
      <c r="F18" s="11" t="n">
        <v>18198</v>
      </c>
      <c r="G18" s="11" t="n">
        <v>227473</v>
      </c>
      <c r="H18" s="11" t="n">
        <v>20473</v>
      </c>
      <c r="I18" s="11" t="n">
        <v>37533</v>
      </c>
      <c r="J18" s="11" t="n">
        <v>18956</v>
      </c>
      <c r="K18" s="11" t="n">
        <v>293000</v>
      </c>
      <c r="L18" s="11" t="n">
        <v>207000</v>
      </c>
    </row>
    <row r="19">
      <c r="A19" s="9" t="inlineStr">
        <is>
          <t>3631113</t>
        </is>
      </c>
      <c r="B19" s="10" t="inlineStr">
        <is>
          <t>KATIA KALLINK VECCA</t>
        </is>
      </c>
      <c r="C19" s="10" t="inlineStr">
        <is>
          <t>AUXILIAR ADMINISTRATIVO (1 pers.)</t>
        </is>
      </c>
      <c r="D19" s="10" t="inlineStr">
        <is>
          <t>AUXILIAR ADMINISTRATIVO</t>
        </is>
      </c>
      <c r="E19" s="11" t="n">
        <v>948803</v>
      </c>
      <c r="F19" s="11" t="n">
        <v>82505</v>
      </c>
      <c r="G19" s="11" t="n">
        <v>1031308</v>
      </c>
      <c r="H19" s="11" t="n">
        <v>92818</v>
      </c>
      <c r="I19" s="11" t="n">
        <v>170166</v>
      </c>
      <c r="J19" s="11" t="n">
        <v>85942</v>
      </c>
      <c r="K19" s="11" t="n">
        <v>97000</v>
      </c>
      <c r="L19" s="11" t="n">
        <v>938490</v>
      </c>
    </row>
    <row r="20">
      <c r="A20" s="9" t="inlineStr">
        <is>
          <t>4010048</t>
        </is>
      </c>
      <c r="B20" s="10" t="inlineStr">
        <is>
          <t>MARCOS ADRIAN  VILLALBA BENITEZ</t>
        </is>
      </c>
      <c r="C20" s="10" t="inlineStr">
        <is>
          <t>CHOFER EXTRA SUPERMERCADO (1 pers.)</t>
        </is>
      </c>
      <c r="D20" s="10" t="inlineStr">
        <is>
          <t>CHOFER EXTRA SUPERMERCADO</t>
        </is>
      </c>
      <c r="E20" s="11" t="n">
        <v>936241</v>
      </c>
      <c r="F20" s="11" t="n">
        <v>81412</v>
      </c>
      <c r="G20" s="11" t="n">
        <v>1017653</v>
      </c>
      <c r="H20" s="11" t="n">
        <v>91589</v>
      </c>
      <c r="I20" s="11" t="n">
        <v>167913</v>
      </c>
      <c r="J20" s="11" t="n">
        <v>84804</v>
      </c>
      <c r="K20" s="11" t="n">
        <v>580000</v>
      </c>
      <c r="L20" s="11" t="n">
        <v>926064</v>
      </c>
    </row>
    <row r="21">
      <c r="A21" s="9" t="inlineStr">
        <is>
          <t>6865885</t>
        </is>
      </c>
      <c r="B21" s="10" t="inlineStr">
        <is>
          <t>LEIDI RAQUEL VERA VERA</t>
        </is>
      </c>
      <c r="C21" s="10" t="inlineStr">
        <is>
          <t>JEFA DE SALON Y PRODUCCION (2 pers.)</t>
        </is>
      </c>
      <c r="D21" s="10" t="inlineStr">
        <is>
          <t>JEFA DE SALON Y PRODUCCION</t>
        </is>
      </c>
      <c r="E21" s="11" t="n">
        <v>1896740</v>
      </c>
      <c r="F21" s="11" t="n">
        <v>164934</v>
      </c>
      <c r="G21" s="11" t="n">
        <v>2061674</v>
      </c>
      <c r="H21" s="11" t="n">
        <v>185551</v>
      </c>
      <c r="I21" s="11" t="n">
        <v>340176</v>
      </c>
      <c r="J21" s="11" t="n">
        <v>171806</v>
      </c>
      <c r="K21" s="11" t="n">
        <v>0</v>
      </c>
      <c r="L21" s="11" t="n">
        <v>1876123</v>
      </c>
    </row>
    <row r="22">
      <c r="A22" s="9" t="inlineStr">
        <is>
          <t>6820080</t>
        </is>
      </c>
      <c r="B22" s="10" t="inlineStr">
        <is>
          <t>ROSA ISABEL  CORONEL TORREZ</t>
        </is>
      </c>
      <c r="C22" s="10" t="inlineStr">
        <is>
          <t>JEFA DE SALON Y PRODUCCION (2 pers.)</t>
        </is>
      </c>
      <c r="D22" s="10" t="inlineStr">
        <is>
          <t>JEFA DE SALON Y PRODUCCION</t>
        </is>
      </c>
      <c r="E22" s="11" t="n">
        <v>353846</v>
      </c>
      <c r="F22" s="11" t="n">
        <v>30769</v>
      </c>
      <c r="G22" s="11" t="n">
        <v>384615</v>
      </c>
      <c r="H22" s="11" t="n">
        <v>34615</v>
      </c>
      <c r="I22" s="11" t="n">
        <v>63461</v>
      </c>
      <c r="J22" s="11" t="n">
        <v>32051</v>
      </c>
      <c r="K22" s="11" t="n">
        <v>0</v>
      </c>
      <c r="L22" s="11" t="n">
        <v>350000</v>
      </c>
    </row>
    <row r="23">
      <c r="A23" s="9" t="inlineStr">
        <is>
          <t>8229784</t>
        </is>
      </c>
      <c r="B23" s="10" t="inlineStr">
        <is>
          <t>ALEXIS GABRIEL BARROZO VALIENTE</t>
        </is>
      </c>
      <c r="C23" s="10" t="inlineStr">
        <is>
          <t>REPOSITOR (6 pers.)</t>
        </is>
      </c>
      <c r="D23" s="10" t="inlineStr">
        <is>
          <t>REPOSITOR</t>
        </is>
      </c>
      <c r="E23" s="11" t="n">
        <v>2336715</v>
      </c>
      <c r="F23" s="11" t="n">
        <v>203193</v>
      </c>
      <c r="G23" s="11" t="n">
        <v>2539908</v>
      </c>
      <c r="H23" s="11" t="n">
        <v>228592</v>
      </c>
      <c r="I23" s="11" t="n">
        <v>419085</v>
      </c>
      <c r="J23" s="11" t="n">
        <v>211659</v>
      </c>
      <c r="K23" s="11" t="n">
        <v>30000</v>
      </c>
      <c r="L23" s="11" t="n">
        <v>2311316</v>
      </c>
    </row>
    <row r="24">
      <c r="A24" s="9" t="inlineStr">
        <is>
          <t>5834935</t>
        </is>
      </c>
      <c r="B24" s="10" t="inlineStr">
        <is>
          <t>MAGNO TOBIAS FLEITAS RAMIREZ</t>
        </is>
      </c>
      <c r="C24" s="10" t="inlineStr">
        <is>
          <t>REPOSITOR (6 pers.)</t>
        </is>
      </c>
      <c r="D24" s="10" t="inlineStr">
        <is>
          <t>REPOSITOR</t>
        </is>
      </c>
      <c r="E24" s="11" t="n">
        <v>478185</v>
      </c>
      <c r="F24" s="11" t="n">
        <v>41581</v>
      </c>
      <c r="G24" s="11" t="n">
        <v>519766</v>
      </c>
      <c r="H24" s="11" t="n">
        <v>46779</v>
      </c>
      <c r="I24" s="11" t="n">
        <v>85761</v>
      </c>
      <c r="J24" s="11" t="n">
        <v>43314</v>
      </c>
      <c r="K24" s="11" t="n">
        <v>883000</v>
      </c>
      <c r="L24" s="11" t="n">
        <v>472987</v>
      </c>
    </row>
    <row r="25">
      <c r="A25" s="9" t="inlineStr">
        <is>
          <t>1869849</t>
        </is>
      </c>
      <c r="B25" s="10" t="inlineStr">
        <is>
          <t>EDGAR GUSTAVO CHAVEZ</t>
        </is>
      </c>
      <c r="C25" s="10" t="inlineStr">
        <is>
          <t>REPOSITOR (6 pers.)</t>
        </is>
      </c>
      <c r="D25" s="10" t="inlineStr">
        <is>
          <t>REPOSITOR</t>
        </is>
      </c>
      <c r="E25" s="11" t="n">
        <v>2128703</v>
      </c>
      <c r="F25" s="11" t="n">
        <v>185105</v>
      </c>
      <c r="G25" s="11" t="n">
        <v>2313808</v>
      </c>
      <c r="H25" s="11" t="n">
        <v>208243</v>
      </c>
      <c r="I25" s="11" t="n">
        <v>381778</v>
      </c>
      <c r="J25" s="11" t="n">
        <v>192817</v>
      </c>
      <c r="K25" s="11" t="n">
        <v>122000</v>
      </c>
      <c r="L25" s="11" t="n">
        <v>2105565</v>
      </c>
    </row>
    <row r="26">
      <c r="A26" s="9" t="inlineStr">
        <is>
          <t>7404892</t>
        </is>
      </c>
      <c r="B26" s="10" t="inlineStr">
        <is>
          <t>LUIS ALBERTO CORONEL ARECO</t>
        </is>
      </c>
      <c r="C26" s="10" t="inlineStr">
        <is>
          <t>REPOSITOR (6 pers.)</t>
        </is>
      </c>
      <c r="D26" s="10" t="inlineStr">
        <is>
          <t>REPOSITOR</t>
        </is>
      </c>
      <c r="E26" s="11" t="n">
        <v>547956</v>
      </c>
      <c r="F26" s="11" t="n">
        <v>47648</v>
      </c>
      <c r="G26" s="11" t="n">
        <v>595604</v>
      </c>
      <c r="H26" s="11" t="n">
        <v>53604</v>
      </c>
      <c r="I26" s="11" t="n">
        <v>98275</v>
      </c>
      <c r="J26" s="11" t="n">
        <v>49634</v>
      </c>
      <c r="K26" s="11" t="n">
        <v>402000</v>
      </c>
      <c r="L26" s="11" t="n">
        <v>542000</v>
      </c>
    </row>
    <row r="27">
      <c r="A27" s="9" t="inlineStr">
        <is>
          <t>5742786</t>
        </is>
      </c>
      <c r="B27" s="10" t="inlineStr">
        <is>
          <t>LUIS FERNANDO  ESTIGARRIBIA</t>
        </is>
      </c>
      <c r="C27" s="10" t="inlineStr">
        <is>
          <t>REPOSITOR (6 pers.)</t>
        </is>
      </c>
      <c r="D27" s="10" t="inlineStr">
        <is>
          <t>REPOSITOR</t>
        </is>
      </c>
      <c r="E27" s="11" t="n">
        <v>2441461</v>
      </c>
      <c r="F27" s="11" t="n">
        <v>212301</v>
      </c>
      <c r="G27" s="11" t="n">
        <v>2653762</v>
      </c>
      <c r="H27" s="11" t="n">
        <v>238839</v>
      </c>
      <c r="I27" s="11" t="n">
        <v>437871</v>
      </c>
      <c r="J27" s="11" t="n">
        <v>221147</v>
      </c>
      <c r="K27" s="11" t="n">
        <v>0</v>
      </c>
      <c r="L27" s="11" t="n">
        <v>2414923</v>
      </c>
    </row>
    <row r="28">
      <c r="A28" s="9" t="inlineStr">
        <is>
          <t>5374231</t>
        </is>
      </c>
      <c r="B28" s="10" t="inlineStr">
        <is>
          <t>LARISSA  BENITEZ</t>
        </is>
      </c>
      <c r="C28" s="10" t="inlineStr">
        <is>
          <t>REPOSITOR (6 pers.)</t>
        </is>
      </c>
      <c r="D28" s="10" t="inlineStr">
        <is>
          <t>REPOSITOR</t>
        </is>
      </c>
      <c r="E28" s="11" t="n">
        <v>2838499</v>
      </c>
      <c r="F28" s="11" t="n">
        <v>246826</v>
      </c>
      <c r="G28" s="11" t="n">
        <v>3085325</v>
      </c>
      <c r="H28" s="11" t="n">
        <v>277679</v>
      </c>
      <c r="I28" s="11" t="n">
        <v>509079</v>
      </c>
      <c r="J28" s="11" t="n">
        <v>257110</v>
      </c>
      <c r="K28" s="11" t="n">
        <v>38000</v>
      </c>
      <c r="L28" s="11" t="n">
        <v>2807646</v>
      </c>
    </row>
    <row r="29">
      <c r="A29" s="9" t="inlineStr">
        <is>
          <t>3769312</t>
        </is>
      </c>
      <c r="B29" s="10" t="inlineStr">
        <is>
          <t>DANIELA  RODRIGUEZ ROMAN</t>
        </is>
      </c>
      <c r="C29" s="10" t="inlineStr">
        <is>
          <t>LIMPIEZA (2 pers.)</t>
        </is>
      </c>
      <c r="D29" s="10" t="inlineStr">
        <is>
          <t>LIMPIEZA</t>
        </is>
      </c>
      <c r="E29" s="11" t="n">
        <v>762883</v>
      </c>
      <c r="F29" s="11" t="n">
        <v>66338</v>
      </c>
      <c r="G29" s="11" t="n">
        <v>829221</v>
      </c>
      <c r="H29" s="11" t="n">
        <v>74630</v>
      </c>
      <c r="I29" s="11" t="n">
        <v>136821</v>
      </c>
      <c r="J29" s="11" t="n">
        <v>69102</v>
      </c>
      <c r="K29" s="11" t="n">
        <v>341000</v>
      </c>
      <c r="L29" s="11" t="n">
        <v>754591</v>
      </c>
    </row>
    <row r="30">
      <c r="A30" s="9" t="inlineStr">
        <is>
          <t>6162836</t>
        </is>
      </c>
      <c r="B30" s="10" t="inlineStr">
        <is>
          <t>LUZ DEL CARMEN AGUERO</t>
        </is>
      </c>
      <c r="C30" s="10" t="inlineStr">
        <is>
          <t>LIMPIEZA (2 pers.)</t>
        </is>
      </c>
      <c r="D30" s="10" t="inlineStr">
        <is>
          <t>LIMPIEZA</t>
        </is>
      </c>
      <c r="E30" s="11" t="n">
        <v>488348</v>
      </c>
      <c r="F30" s="11" t="n">
        <v>42465</v>
      </c>
      <c r="G30" s="11" t="n">
        <v>530813</v>
      </c>
      <c r="H30" s="11" t="n">
        <v>47773</v>
      </c>
      <c r="I30" s="11" t="n">
        <v>87584</v>
      </c>
      <c r="J30" s="11" t="n">
        <v>44234</v>
      </c>
      <c r="K30" s="11" t="n">
        <v>337000</v>
      </c>
      <c r="L30" s="11" t="n">
        <v>483040</v>
      </c>
    </row>
    <row r="31">
      <c r="A31" s="9" t="inlineStr">
        <is>
          <t>6275265</t>
        </is>
      </c>
      <c r="B31" s="10" t="inlineStr">
        <is>
          <t>WILSON ARIEL  RODRIGUEZ QUIÑONEZ</t>
        </is>
      </c>
      <c r="C31" s="10" t="inlineStr">
        <is>
          <t>SECTOR FRIOS -LACTEOS (2 pers.)</t>
        </is>
      </c>
      <c r="D31" s="10" t="inlineStr">
        <is>
          <t>LACTEOS</t>
        </is>
      </c>
      <c r="E31" s="11" t="n">
        <v>2976352</v>
      </c>
      <c r="F31" s="11" t="n">
        <v>258813</v>
      </c>
      <c r="G31" s="11" t="n">
        <v>3235165</v>
      </c>
      <c r="H31" s="11" t="n">
        <v>291165</v>
      </c>
      <c r="I31" s="11" t="n">
        <v>533802</v>
      </c>
      <c r="J31" s="11" t="n">
        <v>269597</v>
      </c>
      <c r="K31" s="11" t="n">
        <v>0</v>
      </c>
      <c r="L31" s="11" t="n">
        <v>2944000</v>
      </c>
    </row>
    <row r="32">
      <c r="A32" s="9" t="inlineStr">
        <is>
          <t>5511909</t>
        </is>
      </c>
      <c r="B32" s="10" t="inlineStr">
        <is>
          <t>MONICA  ARAUJO</t>
        </is>
      </c>
      <c r="C32" s="10" t="inlineStr">
        <is>
          <t>SECTOR FRIOS -LACTEOS (2 pers.)</t>
        </is>
      </c>
      <c r="D32" s="10" t="inlineStr">
        <is>
          <t>LACTEOS</t>
        </is>
      </c>
      <c r="E32" s="11" t="n">
        <v>2384174</v>
      </c>
      <c r="F32" s="11" t="n">
        <v>207319</v>
      </c>
      <c r="G32" s="11" t="n">
        <v>2591493</v>
      </c>
      <c r="H32" s="11" t="n">
        <v>233234</v>
      </c>
      <c r="I32" s="11" t="n">
        <v>427596</v>
      </c>
      <c r="J32" s="11" t="n">
        <v>215958</v>
      </c>
      <c r="K32" s="11" t="n">
        <v>41000</v>
      </c>
      <c r="L32" s="11" t="n">
        <v>2358259</v>
      </c>
    </row>
    <row r="33">
      <c r="A33" s="9" t="inlineStr">
        <is>
          <t>3925234</t>
        </is>
      </c>
      <c r="B33" s="10" t="inlineStr">
        <is>
          <t>FELIPE AGEDO MORAN FERREIRA</t>
        </is>
      </c>
      <c r="C33" s="10" t="inlineStr">
        <is>
          <t>PANADERIA (3 pers.)</t>
        </is>
      </c>
      <c r="D33" s="10" t="inlineStr">
        <is>
          <t>PANADERIA</t>
        </is>
      </c>
      <c r="E33" s="11" t="n">
        <v>2529285</v>
      </c>
      <c r="F33" s="11" t="n">
        <v>219938</v>
      </c>
      <c r="G33" s="11" t="n">
        <v>2749223</v>
      </c>
      <c r="H33" s="11" t="n">
        <v>247430</v>
      </c>
      <c r="I33" s="11" t="n">
        <v>453622</v>
      </c>
      <c r="J33" s="11" t="n">
        <v>229102</v>
      </c>
      <c r="K33" s="11" t="n">
        <v>0</v>
      </c>
      <c r="L33" s="11" t="n">
        <v>2501793</v>
      </c>
    </row>
    <row r="34">
      <c r="A34" s="9" t="inlineStr">
        <is>
          <t>7167302</t>
        </is>
      </c>
      <c r="B34" s="10" t="inlineStr">
        <is>
          <t>LUIS LEONARDO VAZQUEZ BORJAS</t>
        </is>
      </c>
      <c r="C34" s="10" t="inlineStr">
        <is>
          <t>PANADERIA (3 pers.)</t>
        </is>
      </c>
      <c r="D34" s="10" t="inlineStr">
        <is>
          <t>PANADERIA</t>
        </is>
      </c>
      <c r="E34" s="11" t="n">
        <v>3077451</v>
      </c>
      <c r="F34" s="11" t="n">
        <v>267604</v>
      </c>
      <c r="G34" s="11" t="n">
        <v>3345055</v>
      </c>
      <c r="H34" s="11" t="n">
        <v>301055</v>
      </c>
      <c r="I34" s="11" t="n">
        <v>551934</v>
      </c>
      <c r="J34" s="11" t="n">
        <v>278755</v>
      </c>
      <c r="K34" s="11" t="n">
        <v>0</v>
      </c>
      <c r="L34" s="11" t="n">
        <v>3044000</v>
      </c>
    </row>
    <row r="35">
      <c r="A35" s="9" t="inlineStr">
        <is>
          <t>3897260</t>
        </is>
      </c>
      <c r="B35" s="10" t="inlineStr">
        <is>
          <t>MARIO ANIBAL  GOMEZ</t>
        </is>
      </c>
      <c r="C35" s="10" t="inlineStr">
        <is>
          <t>PANADERIA (3 pers.)</t>
        </is>
      </c>
      <c r="D35" s="10" t="inlineStr">
        <is>
          <t>PANADERIA</t>
        </is>
      </c>
      <c r="E35" s="11" t="n">
        <v>221447</v>
      </c>
      <c r="F35" s="11" t="n">
        <v>19256</v>
      </c>
      <c r="G35" s="11" t="n">
        <v>240703</v>
      </c>
      <c r="H35" s="11" t="n">
        <v>21663</v>
      </c>
      <c r="I35" s="11" t="n">
        <v>39716</v>
      </c>
      <c r="J35" s="11" t="n">
        <v>20059</v>
      </c>
      <c r="K35" s="11" t="n">
        <v>323000</v>
      </c>
      <c r="L35" s="11" t="n">
        <v>219040</v>
      </c>
    </row>
    <row r="36">
      <c r="A36" s="9" t="inlineStr">
        <is>
          <t>6617555</t>
        </is>
      </c>
      <c r="B36" s="10" t="inlineStr">
        <is>
          <t>MERCED COHENE AGUERO</t>
        </is>
      </c>
      <c r="C36" s="10" t="inlineStr">
        <is>
          <t>CARNICERIA (3 pers.)</t>
        </is>
      </c>
      <c r="D36" s="10" t="inlineStr">
        <is>
          <t>CARNICERIA</t>
        </is>
      </c>
      <c r="E36" s="11" t="n">
        <v>1752900</v>
      </c>
      <c r="F36" s="11" t="n">
        <v>152426</v>
      </c>
      <c r="G36" s="11" t="n">
        <v>1905326</v>
      </c>
      <c r="H36" s="11" t="n">
        <v>171479</v>
      </c>
      <c r="I36" s="11" t="n">
        <v>314379</v>
      </c>
      <c r="J36" s="11" t="n">
        <v>158777</v>
      </c>
      <c r="K36" s="11" t="n">
        <v>0</v>
      </c>
      <c r="L36" s="11" t="n">
        <v>1733847</v>
      </c>
    </row>
    <row r="37">
      <c r="A37" s="9" t="inlineStr">
        <is>
          <t>6190570</t>
        </is>
      </c>
      <c r="B37" s="10" t="inlineStr">
        <is>
          <t>CRISTHIAN  OSVALDO BENITEZ GONZALEZ</t>
        </is>
      </c>
      <c r="C37" s="10" t="inlineStr">
        <is>
          <t>CARNICERIA (3 pers.)</t>
        </is>
      </c>
      <c r="D37" s="10" t="inlineStr">
        <is>
          <t>CARNICERIA</t>
        </is>
      </c>
      <c r="E37" s="11" t="n">
        <v>1420252</v>
      </c>
      <c r="F37" s="11" t="n">
        <v>123500</v>
      </c>
      <c r="G37" s="11" t="n">
        <v>1543752</v>
      </c>
      <c r="H37" s="11" t="n">
        <v>138938</v>
      </c>
      <c r="I37" s="11" t="n">
        <v>254719</v>
      </c>
      <c r="J37" s="11" t="n">
        <v>128646</v>
      </c>
      <c r="K37" s="11" t="n">
        <v>288000</v>
      </c>
      <c r="L37" s="11" t="n">
        <v>1404814</v>
      </c>
    </row>
    <row r="38">
      <c r="A38" s="9" t="inlineStr">
        <is>
          <t>6281278</t>
        </is>
      </c>
      <c r="B38" s="10" t="inlineStr">
        <is>
          <t>FREDY NUÑEZ AREVALOS</t>
        </is>
      </c>
      <c r="C38" s="10" t="inlineStr">
        <is>
          <t>CARNICERIA (3 pers.)</t>
        </is>
      </c>
      <c r="D38" s="10" t="inlineStr">
        <is>
          <t>CARNICERIA</t>
        </is>
      </c>
      <c r="E38" s="11" t="n">
        <v>1012134</v>
      </c>
      <c r="F38" s="11" t="n">
        <v>88012</v>
      </c>
      <c r="G38" s="11" t="n">
        <v>1100146</v>
      </c>
      <c r="H38" s="11" t="n">
        <v>99013</v>
      </c>
      <c r="I38" s="11" t="n">
        <v>181524</v>
      </c>
      <c r="J38" s="11" t="n">
        <v>91679</v>
      </c>
      <c r="K38" s="11" t="n">
        <v>0</v>
      </c>
      <c r="L38" s="11" t="n">
        <v>1001133</v>
      </c>
    </row>
    <row r="39">
      <c r="A39" s="9" t="inlineStr">
        <is>
          <t>7349829</t>
        </is>
      </c>
      <c r="B39" s="10" t="inlineStr">
        <is>
          <t>MARISTELA YBARRA GONZALEZ</t>
        </is>
      </c>
      <c r="C39" s="10" t="inlineStr">
        <is>
          <t>SUPERVISOR/A DE CAJA (2 pers.)</t>
        </is>
      </c>
      <c r="D39" s="10" t="inlineStr">
        <is>
          <t>SUPERVISOR/A DE CAJA</t>
        </is>
      </c>
      <c r="E39" s="11" t="n">
        <v>1197726</v>
      </c>
      <c r="F39" s="11" t="n">
        <v>104150</v>
      </c>
      <c r="G39" s="11" t="n">
        <v>1301876</v>
      </c>
      <c r="H39" s="11" t="n">
        <v>117169</v>
      </c>
      <c r="I39" s="11" t="n">
        <v>214810</v>
      </c>
      <c r="J39" s="11" t="n">
        <v>108490</v>
      </c>
      <c r="K39" s="11" t="n">
        <v>501000</v>
      </c>
      <c r="L39" s="11" t="n">
        <v>1184707</v>
      </c>
    </row>
    <row r="40">
      <c r="A40" s="9" t="inlineStr">
        <is>
          <t>3035785</t>
        </is>
      </c>
      <c r="B40" s="10" t="inlineStr">
        <is>
          <t>ZUNILDA RAMONA RODRIGUEZ</t>
        </is>
      </c>
      <c r="C40" s="10" t="inlineStr">
        <is>
          <t>SUPERVISOR/A DE CAJA (2 pers.)</t>
        </is>
      </c>
      <c r="D40" s="10" t="inlineStr">
        <is>
          <t>SUPERVISOR/A DE CAJA</t>
        </is>
      </c>
      <c r="E40" s="11" t="n">
        <v>1881217</v>
      </c>
      <c r="F40" s="11" t="n">
        <v>163584</v>
      </c>
      <c r="G40" s="11" t="n">
        <v>2044801</v>
      </c>
      <c r="H40" s="11" t="n">
        <v>184032</v>
      </c>
      <c r="I40" s="11" t="n">
        <v>337392</v>
      </c>
      <c r="J40" s="11" t="n">
        <v>170400</v>
      </c>
      <c r="K40" s="11" t="n">
        <v>397000</v>
      </c>
      <c r="L40" s="11" t="n">
        <v>1860769</v>
      </c>
    </row>
    <row r="41">
      <c r="A41" s="9" t="inlineStr">
        <is>
          <t>7636599</t>
        </is>
      </c>
      <c r="B41" s="10" t="inlineStr">
        <is>
          <t>JUDITH CELESTE SALINAS LOPEZ</t>
        </is>
      </c>
      <c r="C41" s="10" t="inlineStr">
        <is>
          <t>CAJAS (4 pers.)</t>
        </is>
      </c>
      <c r="D41" s="10" t="inlineStr">
        <is>
          <t>CAJAS</t>
        </is>
      </c>
      <c r="E41" s="11" t="n">
        <v>2868175</v>
      </c>
      <c r="F41" s="11" t="n">
        <v>249407</v>
      </c>
      <c r="G41" s="11" t="n">
        <v>3117582</v>
      </c>
      <c r="H41" s="11" t="n">
        <v>280582</v>
      </c>
      <c r="I41" s="11" t="n">
        <v>514401</v>
      </c>
      <c r="J41" s="11" t="n">
        <v>259798</v>
      </c>
      <c r="K41" s="11" t="n">
        <v>107000</v>
      </c>
      <c r="L41" s="11" t="n">
        <v>2837000</v>
      </c>
    </row>
    <row r="42">
      <c r="A42" s="9" t="inlineStr">
        <is>
          <t>6073553</t>
        </is>
      </c>
      <c r="B42" s="10" t="inlineStr">
        <is>
          <t>EVELYN MARIEL HERRERO MEDINA</t>
        </is>
      </c>
      <c r="C42" s="10" t="inlineStr">
        <is>
          <t>CAJAS (4 pers.)</t>
        </is>
      </c>
      <c r="D42" s="10" t="inlineStr">
        <is>
          <t>CAJAS</t>
        </is>
      </c>
      <c r="E42" s="11" t="n">
        <v>1770833</v>
      </c>
      <c r="F42" s="11" t="n">
        <v>153986</v>
      </c>
      <c r="G42" s="11" t="n">
        <v>1924819</v>
      </c>
      <c r="H42" s="11" t="n">
        <v>173234</v>
      </c>
      <c r="I42" s="11" t="n">
        <v>317595</v>
      </c>
      <c r="J42" s="11" t="n">
        <v>160402</v>
      </c>
      <c r="K42" s="11" t="n">
        <v>218000</v>
      </c>
      <c r="L42" s="11" t="n">
        <v>1751585</v>
      </c>
    </row>
    <row r="43">
      <c r="A43" s="9" t="inlineStr">
        <is>
          <t>6868892</t>
        </is>
      </c>
      <c r="B43" s="10" t="inlineStr">
        <is>
          <t>NILDA AQUINO OCAMPOS</t>
        </is>
      </c>
      <c r="C43" s="10" t="inlineStr">
        <is>
          <t>CAJAS (4 pers.)</t>
        </is>
      </c>
      <c r="D43" s="10" t="inlineStr">
        <is>
          <t>CAJAS</t>
        </is>
      </c>
      <c r="E43" s="11" t="n">
        <v>2402165</v>
      </c>
      <c r="F43" s="11" t="n">
        <v>208884</v>
      </c>
      <c r="G43" s="11" t="n">
        <v>2611049</v>
      </c>
      <c r="H43" s="11" t="n">
        <v>234994</v>
      </c>
      <c r="I43" s="11" t="n">
        <v>430823</v>
      </c>
      <c r="J43" s="11" t="n">
        <v>217587</v>
      </c>
      <c r="K43" s="11" t="n">
        <v>5000</v>
      </c>
      <c r="L43" s="11" t="n">
        <v>2376055</v>
      </c>
    </row>
    <row r="44">
      <c r="A44" s="9" t="inlineStr">
        <is>
          <t>6373848</t>
        </is>
      </c>
      <c r="B44" s="10" t="inlineStr">
        <is>
          <t>TOMASA CRISTALDO</t>
        </is>
      </c>
      <c r="C44" s="10" t="inlineStr">
        <is>
          <t>CAJAS (4 pers.)</t>
        </is>
      </c>
      <c r="D44" s="10" t="inlineStr">
        <is>
          <t>CAJAS</t>
        </is>
      </c>
      <c r="E44" s="11" t="n">
        <v>2330077</v>
      </c>
      <c r="F44" s="11" t="n">
        <v>202615</v>
      </c>
      <c r="G44" s="11" t="n">
        <v>2532692</v>
      </c>
      <c r="H44" s="11" t="n">
        <v>227942</v>
      </c>
      <c r="I44" s="11" t="n">
        <v>417894</v>
      </c>
      <c r="J44" s="11" t="n">
        <v>211058</v>
      </c>
      <c r="K44" s="11" t="n">
        <v>0</v>
      </c>
      <c r="L44" s="11" t="n">
        <v>2304750</v>
      </c>
    </row>
    <row r="45">
      <c r="A45" s="9" t="inlineStr">
        <is>
          <t>7577270</t>
        </is>
      </c>
      <c r="B45" s="10" t="inlineStr">
        <is>
          <t>LIRDA MARIA SILVA VILLALBA</t>
        </is>
      </c>
      <c r="C45" s="10" t="inlineStr">
        <is>
          <t>CAJERO/A (1 pers.)</t>
        </is>
      </c>
      <c r="D45" s="10" t="inlineStr">
        <is>
          <t>CAJERO/A</t>
        </is>
      </c>
      <c r="E45" s="11" t="n">
        <v>2976352</v>
      </c>
      <c r="F45" s="11" t="n">
        <v>258813</v>
      </c>
      <c r="G45" s="11" t="n">
        <v>3235165</v>
      </c>
      <c r="H45" s="11" t="n">
        <v>291165</v>
      </c>
      <c r="I45" s="11" t="n">
        <v>533802</v>
      </c>
      <c r="J45" s="11" t="n">
        <v>269597</v>
      </c>
      <c r="K45" s="11" t="n">
        <v>0</v>
      </c>
      <c r="L45" s="11" t="n">
        <v>2944000</v>
      </c>
    </row>
    <row r="46">
      <c r="A46" s="9" t="inlineStr">
        <is>
          <t>7775603</t>
        </is>
      </c>
      <c r="B46" s="10" t="inlineStr">
        <is>
          <t>ANDREA CAMILA FERNANDEZ RAMIREZ</t>
        </is>
      </c>
      <c r="C46" s="10" t="inlineStr">
        <is>
          <t>FLV (1 pers.)</t>
        </is>
      </c>
      <c r="D46" s="10" t="inlineStr">
        <is>
          <t>FLV</t>
        </is>
      </c>
      <c r="E46" s="11" t="n">
        <v>1176618</v>
      </c>
      <c r="F46" s="11" t="n">
        <v>102315</v>
      </c>
      <c r="G46" s="11" t="n">
        <v>1278933</v>
      </c>
      <c r="H46" s="11" t="n">
        <v>115104</v>
      </c>
      <c r="I46" s="11" t="n">
        <v>211024</v>
      </c>
      <c r="J46" s="11" t="n">
        <v>106578</v>
      </c>
      <c r="K46" s="11" t="n">
        <v>117000</v>
      </c>
      <c r="L46" s="11" t="n">
        <v>1163829</v>
      </c>
    </row>
    <row r="47">
      <c r="A47" s="9" t="inlineStr">
        <is>
          <t>3361191</t>
        </is>
      </c>
      <c r="B47" s="10" t="inlineStr">
        <is>
          <t>OSCAR  VILLANUEVA LESMO</t>
        </is>
      </c>
      <c r="C47" s="10" t="inlineStr">
        <is>
          <t>DEPOSITO (1 pers.)</t>
        </is>
      </c>
      <c r="D47" s="10" t="inlineStr">
        <is>
          <t>DEPOSITO</t>
        </is>
      </c>
      <c r="E47" s="11" t="n">
        <v>1010989</v>
      </c>
      <c r="F47" s="11" t="n">
        <v>87912</v>
      </c>
      <c r="G47" s="11" t="n">
        <v>1098901</v>
      </c>
      <c r="H47" s="11" t="n">
        <v>98901</v>
      </c>
      <c r="I47" s="11" t="n">
        <v>181319</v>
      </c>
      <c r="J47" s="11" t="n">
        <v>91575</v>
      </c>
      <c r="K47" s="11" t="n">
        <v>0</v>
      </c>
      <c r="L47" s="11" t="n">
        <v>1000000</v>
      </c>
    </row>
    <row r="48">
      <c r="A48" s="9" t="inlineStr">
        <is>
          <t>6915018</t>
        </is>
      </c>
      <c r="B48" s="10" t="inlineStr">
        <is>
          <t>DANIEL  ACOSTA MERLO</t>
        </is>
      </c>
      <c r="C48" s="10" t="inlineStr">
        <is>
          <t>CAFETERIA MALOU</t>
        </is>
      </c>
      <c r="D48" s="10" t="inlineStr">
        <is>
          <t>Salón</t>
        </is>
      </c>
      <c r="E48" s="11" t="n">
        <v>2830769</v>
      </c>
      <c r="F48" s="11" t="n">
        <v>246154</v>
      </c>
      <c r="G48" s="11" t="n">
        <v>3076923</v>
      </c>
      <c r="H48" s="11" t="n">
        <v>276923</v>
      </c>
      <c r="I48" s="11" t="n">
        <v>507692</v>
      </c>
      <c r="J48" s="11" t="n">
        <v>256410</v>
      </c>
      <c r="K48" s="11" t="n">
        <v>299000</v>
      </c>
      <c r="L48" s="11" t="n">
        <v>2800000</v>
      </c>
    </row>
    <row r="49">
      <c r="B49" s="39" t="inlineStr">
        <is>
          <t>TOTALES DEVENGADOS</t>
        </is>
      </c>
      <c r="E49" s="40">
        <f>SUM(E4:E48)</f>
        <v/>
      </c>
      <c r="F49" s="40">
        <f>SUM(F4:F48)</f>
        <v/>
      </c>
      <c r="G49" s="40">
        <f>SUM(G4:G48)</f>
        <v/>
      </c>
      <c r="H49" s="40">
        <f>SUM(H4:H48)</f>
        <v/>
      </c>
      <c r="I49" s="40">
        <f>SUM(I4:I48)</f>
        <v/>
      </c>
      <c r="J49" s="40">
        <f>SUM(J4:J48)</f>
        <v/>
      </c>
      <c r="K49" s="40">
        <f>SUM(K4:K48)</f>
        <v/>
      </c>
      <c r="L49" s="40">
        <f>SUM(L4:L48)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20" customWidth="1" min="5" max="5"/>
    <col width="40" customWidth="1" min="6" max="6"/>
    <col width="20" customWidth="1" min="7" max="7"/>
    <col width="12" customWidth="1" min="8" max="8"/>
  </cols>
  <sheetData>
    <row r="1" ht="25" customHeight="1">
      <c r="A1" s="37" t="inlineStr">
        <is>
          <t>EXTRA SUPERMERCADO MAYORISTA — 5. OCUPACION Y SERVICIOS (SETIEMBRE 2026)</t>
        </is>
      </c>
    </row>
    <row r="3" ht="22" customHeight="1">
      <c r="A3" s="38" t="inlineStr">
        <is>
          <t>FECHA</t>
        </is>
      </c>
      <c r="B3" s="38" t="inlineStr">
        <is>
          <t>FACTURA Nº</t>
        </is>
      </c>
      <c r="C3" s="38" t="inlineStr">
        <is>
          <t>PROVEEDOR / ENTIDAD</t>
        </is>
      </c>
      <c r="D3" s="38" t="inlineStr">
        <is>
          <t>RUC</t>
        </is>
      </c>
      <c r="E3" s="38" t="inlineStr">
        <is>
          <t>SUBCATEGORÍA</t>
        </is>
      </c>
      <c r="F3" s="38" t="inlineStr">
        <is>
          <t>DESCRIPCIÓN SERVICIO</t>
        </is>
      </c>
      <c r="G3" s="38" t="inlineStr">
        <is>
          <t>IMPORTE (Gs.)</t>
        </is>
      </c>
      <c r="H3" s="38" t="inlineStr">
        <is>
          <t>ESTADO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25" customWidth="1" min="5" max="5"/>
    <col width="40" customWidth="1" min="6" max="6"/>
    <col width="20" customWidth="1" min="7" max="7"/>
    <col width="12" customWidth="1" min="8" max="8"/>
  </cols>
  <sheetData>
    <row r="1" ht="25" customHeight="1">
      <c r="A1" s="37" t="inlineStr">
        <is>
          <t>EXTRA SUPERMERCADO MAYORISTA — 6. MANTENIMIENTO (SETIEMBRE 2026)</t>
        </is>
      </c>
    </row>
    <row r="3" ht="22" customHeight="1">
      <c r="A3" s="38" t="inlineStr">
        <is>
          <t>FECHA</t>
        </is>
      </c>
      <c r="B3" s="38" t="inlineStr">
        <is>
          <t>FACTURA Nº</t>
        </is>
      </c>
      <c r="C3" s="38" t="inlineStr">
        <is>
          <t>PROVEEDOR TÉCNICO</t>
        </is>
      </c>
      <c r="D3" s="38" t="inlineStr">
        <is>
          <t>RUC</t>
        </is>
      </c>
      <c r="E3" s="38" t="inlineStr">
        <is>
          <t>EQUIPO / ÁREA</t>
        </is>
      </c>
      <c r="F3" s="38" t="inlineStr">
        <is>
          <t>DETALLE INTERVENCIÓN</t>
        </is>
      </c>
      <c r="G3" s="38" t="inlineStr">
        <is>
          <t>IMPORTE (Gs.)</t>
        </is>
      </c>
      <c r="H3" s="38" t="inlineStr">
        <is>
          <t>ESTADO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20" customWidth="1" min="5" max="5"/>
    <col width="40" customWidth="1" min="6" max="6"/>
    <col width="20" customWidth="1" min="7" max="7"/>
    <col width="12" customWidth="1" min="8" max="8"/>
  </cols>
  <sheetData>
    <row r="1" ht="25" customHeight="1">
      <c r="A1" s="37" t="inlineStr">
        <is>
          <t>EXTRA SUPERMERCADO MAYORISTA — 7. LOGISTICA E INSUMOS (SETIEMBRE 2026)</t>
        </is>
      </c>
    </row>
    <row r="3" ht="22" customHeight="1">
      <c r="A3" s="38" t="inlineStr">
        <is>
          <t>FECHA</t>
        </is>
      </c>
      <c r="B3" s="38" t="inlineStr">
        <is>
          <t>COMPROBANTE</t>
        </is>
      </c>
      <c r="C3" s="38" t="inlineStr">
        <is>
          <t>PROVEEDOR</t>
        </is>
      </c>
      <c r="D3" s="38" t="inlineStr">
        <is>
          <t>RUC</t>
        </is>
      </c>
      <c r="E3" s="38" t="inlineStr">
        <is>
          <t>RUBRO</t>
        </is>
      </c>
      <c r="F3" s="38" t="inlineStr">
        <is>
          <t>DETALLE INSUMO / FLETE</t>
        </is>
      </c>
      <c r="G3" s="38" t="inlineStr">
        <is>
          <t>IMPORTE (Gs.)</t>
        </is>
      </c>
      <c r="H3" s="38" t="inlineStr">
        <is>
          <t>ESTADO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30" customWidth="1" min="5" max="5"/>
    <col width="40" customWidth="1" min="6" max="6"/>
    <col width="20" customWidth="1" min="7" max="7"/>
    <col width="12" customWidth="1" min="8" max="8"/>
  </cols>
  <sheetData>
    <row r="1" ht="25" customHeight="1">
      <c r="A1" s="37" t="inlineStr">
        <is>
          <t>EXTRA SUPERMERCADO MAYORISTA — 8. ADMINISTRACION Y FINANZAS (SETIEMBRE 2026)</t>
        </is>
      </c>
    </row>
    <row r="3" ht="22" customHeight="1">
      <c r="A3" s="38" t="inlineStr">
        <is>
          <t>FECHA</t>
        </is>
      </c>
      <c r="B3" s="38" t="inlineStr">
        <is>
          <t>COMPROBANTE</t>
        </is>
      </c>
      <c r="C3" s="38" t="inlineStr">
        <is>
          <t>ENTIDAD / PROFESIONAL</t>
        </is>
      </c>
      <c r="D3" s="38" t="inlineStr">
        <is>
          <t>RUC</t>
        </is>
      </c>
      <c r="E3" s="38" t="inlineStr">
        <is>
          <t>CONCEPTO FINANCIERO</t>
        </is>
      </c>
      <c r="F3" s="38" t="inlineStr">
        <is>
          <t>DESCRIPCIÓN</t>
        </is>
      </c>
      <c r="G3" s="38" t="inlineStr">
        <is>
          <t>IMPORTE (Gs.)</t>
        </is>
      </c>
      <c r="H3" s="38" t="inlineStr">
        <is>
          <t>ESTADO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2026-10-13T00:42:09Z</dcterms:created>
  <dcterms:modified xmlns:dcterms="http://purl.org/dc/terms/" xmlns:xsi="http://www.w3.org/2001/XMLSchema-instance" xsi:type="dcterms:W3CDTF">2026-10-13T00:42:09Z</dcterms:modified>
</cp:coreProperties>
</file>